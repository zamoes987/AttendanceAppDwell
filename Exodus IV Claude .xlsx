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4"/>
    <sheet state="visible" name="(Complete) 2024" sheetId="2" r:id="rId5"/>
    <sheet state="visible" name="(Complete) 2023" sheetId="3" r:id="rId6"/>
    <sheet state="visible" name="(Complete) 2022" sheetId="4" r:id="rId7"/>
    <sheet state="visible" name="(Complete) 2021" sheetId="5" r:id="rId8"/>
  </sheets>
  <definedNames/>
  <calcPr/>
</workbook>
</file>

<file path=xl/sharedStrings.xml><?xml version="1.0" encoding="utf-8"?>
<sst xmlns="http://schemas.openxmlformats.org/spreadsheetml/2006/main" count="6388" uniqueCount="258">
  <si>
    <t>Name</t>
  </si>
  <si>
    <t>Status</t>
  </si>
  <si>
    <t>OM</t>
  </si>
  <si>
    <t>Daniel Hannigan</t>
  </si>
  <si>
    <t>x</t>
  </si>
  <si>
    <t>XSI</t>
  </si>
  <si>
    <t>TRIP HANGOUT</t>
  </si>
  <si>
    <t>Mary Hannigan</t>
  </si>
  <si>
    <t>Stormie Harlan</t>
  </si>
  <si>
    <t>Jim Leffel</t>
  </si>
  <si>
    <t>Linda Leffel</t>
  </si>
  <si>
    <t>Dave Merker</t>
  </si>
  <si>
    <t>Amy Merker</t>
  </si>
  <si>
    <t>Joy Bledsoe</t>
  </si>
  <si>
    <t>Erika Rudolph</t>
  </si>
  <si>
    <t>Tom Ricchiuto</t>
  </si>
  <si>
    <t>Andrea Ricchiuto</t>
  </si>
  <si>
    <t>Greg Benson</t>
  </si>
  <si>
    <t>Amy Benson</t>
  </si>
  <si>
    <t>Megan Kenny</t>
  </si>
  <si>
    <t>William Kenny</t>
  </si>
  <si>
    <t>Alaina Sutherland</t>
  </si>
  <si>
    <t>Logan Sutherland</t>
  </si>
  <si>
    <t>Anjelica Estep</t>
  </si>
  <si>
    <t>Phil Dailey</t>
  </si>
  <si>
    <t>Mary Dailey</t>
  </si>
  <si>
    <t>Maria Higa</t>
  </si>
  <si>
    <t>Paul Talbot</t>
  </si>
  <si>
    <t>Jennie Talbot</t>
  </si>
  <si>
    <t>Tiffany McNeill</t>
  </si>
  <si>
    <t>XT</t>
  </si>
  <si>
    <t>Katheryn Kiggins</t>
  </si>
  <si>
    <t>Ryan Peacock</t>
  </si>
  <si>
    <t>Jack Walker</t>
  </si>
  <si>
    <t>Katelynn Walker</t>
  </si>
  <si>
    <t>Hilary Skunda</t>
  </si>
  <si>
    <t>Matt Skunda</t>
  </si>
  <si>
    <t>Lane Rudolph</t>
  </si>
  <si>
    <t>Benjamin McNeil</t>
  </si>
  <si>
    <t>Annie Barnes</t>
  </si>
  <si>
    <t>Tony Barnes</t>
  </si>
  <si>
    <t>Zane Estep</t>
  </si>
  <si>
    <t>John Bledsoe</t>
  </si>
  <si>
    <t>Jenica Richards</t>
  </si>
  <si>
    <t>Ryan Richards</t>
  </si>
  <si>
    <t>Ryan Smith</t>
  </si>
  <si>
    <t>Rachel Smith</t>
  </si>
  <si>
    <t>Matt Wolf</t>
  </si>
  <si>
    <t>Lisa Wolf</t>
  </si>
  <si>
    <t>Matt Macasick</t>
  </si>
  <si>
    <t>Marah Macasick</t>
  </si>
  <si>
    <t>FT/RN</t>
  </si>
  <si>
    <t>Katie Peacock</t>
  </si>
  <si>
    <t>RN</t>
  </si>
  <si>
    <t>Peter McDonough</t>
  </si>
  <si>
    <t>Anita McDonough</t>
  </si>
  <si>
    <t>Pamela Allen(Joy)</t>
  </si>
  <si>
    <t>Spencer (Matthew Bledsoes)</t>
  </si>
  <si>
    <t>FT</t>
  </si>
  <si>
    <t>Matthew Martin (Joy)</t>
  </si>
  <si>
    <t>Todd ((Matthew Bledsoes)</t>
  </si>
  <si>
    <t>Steven (Esteps)</t>
  </si>
  <si>
    <t>Jersey (Esteps)</t>
  </si>
  <si>
    <t>Joe Cleary (Never Alone)</t>
  </si>
  <si>
    <t>Nathan Tilley (Never Alone)</t>
  </si>
  <si>
    <t>Matthew Stanford (Never Alone)</t>
  </si>
  <si>
    <t>Chris (Never Alone)</t>
  </si>
  <si>
    <t>Austin (Never Alone)</t>
  </si>
  <si>
    <t>Sam (Never Alone)</t>
  </si>
  <si>
    <t>Josh (Never Alone)</t>
  </si>
  <si>
    <t>Brendon Bailey (Never Alone)</t>
  </si>
  <si>
    <t>Michael Allen (Paul)</t>
  </si>
  <si>
    <t>Allie (Hillary)</t>
  </si>
  <si>
    <t>Kay Lipovsky</t>
  </si>
  <si>
    <t>Tim Lipovsky</t>
  </si>
  <si>
    <t>Robin (Joy)</t>
  </si>
  <si>
    <t>Mirranda  (Maria)</t>
  </si>
  <si>
    <t>Mirranda Fiance (Maria)</t>
  </si>
  <si>
    <t>Jon Ruhlord (Lane)</t>
  </si>
  <si>
    <t>Zaeem</t>
  </si>
  <si>
    <t>Sara (Hillary)</t>
  </si>
  <si>
    <t>Hannigan Guest (Girl)</t>
  </si>
  <si>
    <t>Jayla (Skunda Foster Daughter)</t>
  </si>
  <si>
    <t>Steven (Josh)</t>
  </si>
  <si>
    <t>Dennis Hasset (Esteps)</t>
  </si>
  <si>
    <t>Tyler Ferland (Esteps)</t>
  </si>
  <si>
    <t>Niel (Brendon)</t>
  </si>
  <si>
    <t>Christina (Sam)</t>
  </si>
  <si>
    <t>Danielle (Hilary)</t>
  </si>
  <si>
    <t>V</t>
  </si>
  <si>
    <t>Dave (John B.)</t>
  </si>
  <si>
    <t>Madison (John B.)</t>
  </si>
  <si>
    <t>Jim Long</t>
  </si>
  <si>
    <t>Lisa Long</t>
  </si>
  <si>
    <t>Zach Tepe</t>
  </si>
  <si>
    <t>Abby Lutz</t>
  </si>
  <si>
    <t>Ray</t>
  </si>
  <si>
    <t>Nathan Roberts</t>
  </si>
  <si>
    <t>CTFT</t>
  </si>
  <si>
    <t>HC TOTAL (no CT)</t>
  </si>
  <si>
    <t>OLD</t>
  </si>
  <si>
    <t>Jacob Doll</t>
  </si>
  <si>
    <t>Sophonie Doll</t>
  </si>
  <si>
    <t>Xiao Yao</t>
  </si>
  <si>
    <t>Hannah Yao</t>
  </si>
  <si>
    <t>Kelly Moore</t>
  </si>
  <si>
    <t>Joe Moore</t>
  </si>
  <si>
    <t>Tim Lip</t>
  </si>
  <si>
    <t>Kay Lip</t>
  </si>
  <si>
    <t>Zac Tepe</t>
  </si>
  <si>
    <t>Danielle "Tepe"</t>
  </si>
  <si>
    <t>Paul Chao</t>
  </si>
  <si>
    <t>Jose (Maria)</t>
  </si>
  <si>
    <t>Siobhan</t>
  </si>
  <si>
    <t>Daniel Dawson</t>
  </si>
  <si>
    <t>HALLOWEEN</t>
  </si>
  <si>
    <t>Jim Leffell</t>
  </si>
  <si>
    <t>Tyrell</t>
  </si>
  <si>
    <t>X</t>
  </si>
  <si>
    <t>Annie Barnes (Mary H)</t>
  </si>
  <si>
    <t>Tony Barnes (Mary H)</t>
  </si>
  <si>
    <t>Matthew (Joy)</t>
  </si>
  <si>
    <t>Nate (Never Alone)</t>
  </si>
  <si>
    <t>Joel (Never Alone)</t>
  </si>
  <si>
    <t>John (Never Alone)</t>
  </si>
  <si>
    <t>Brenden (Never Alone)</t>
  </si>
  <si>
    <t>Matthew (Never Alone)</t>
  </si>
  <si>
    <t>Gloria Rudolph</t>
  </si>
  <si>
    <t>Steve Rudolph</t>
  </si>
  <si>
    <t>Jenica Richard</t>
  </si>
  <si>
    <t>Ryan Richard</t>
  </si>
  <si>
    <t>Kiara Santiago</t>
  </si>
  <si>
    <t>Caitlyn Moon</t>
  </si>
  <si>
    <t>Sydney</t>
  </si>
  <si>
    <t>Kylor</t>
  </si>
  <si>
    <t>Dael (Abby)</t>
  </si>
  <si>
    <t>Mat Wolf</t>
  </si>
  <si>
    <t>Matt Macasek</t>
  </si>
  <si>
    <t>Joy DeMarco</t>
  </si>
  <si>
    <t>Tom Ric</t>
  </si>
  <si>
    <t>Andrea Ric</t>
  </si>
  <si>
    <t>Gerald</t>
  </si>
  <si>
    <t>Joel Boose</t>
  </si>
  <si>
    <t>Charlotte Boose</t>
  </si>
  <si>
    <t>Ray Ouellette</t>
  </si>
  <si>
    <t>Meghan W</t>
  </si>
  <si>
    <t>Sub</t>
  </si>
  <si>
    <t>Maria</t>
  </si>
  <si>
    <t xml:space="preserve">x                   </t>
  </si>
  <si>
    <t>Amy benson</t>
  </si>
  <si>
    <t>Tiffany Moll</t>
  </si>
  <si>
    <t>Ben Hertz</t>
  </si>
  <si>
    <t>Pam</t>
  </si>
  <si>
    <t>Mary  (Stormie roomie)</t>
  </si>
  <si>
    <t>Ben (Daniel)</t>
  </si>
  <si>
    <t>Marianna  (Charlotte)</t>
  </si>
  <si>
    <t>Zac</t>
  </si>
  <si>
    <t>Danielle</t>
  </si>
  <si>
    <t>FT / RN</t>
  </si>
  <si>
    <t>Niki</t>
  </si>
  <si>
    <t xml:space="preserve"> x</t>
  </si>
  <si>
    <t>Paul C</t>
  </si>
  <si>
    <t>Jessica</t>
  </si>
  <si>
    <t>Tiana</t>
  </si>
  <si>
    <t>Bindu Gajmer</t>
  </si>
  <si>
    <t>Crystal</t>
  </si>
  <si>
    <t>Peter McDonough's coworker</t>
  </si>
  <si>
    <t>Trish</t>
  </si>
  <si>
    <t>Hannah (Hilary sister)</t>
  </si>
  <si>
    <t xml:space="preserve">Mike Talbot </t>
  </si>
  <si>
    <t>Liz Talbot</t>
  </si>
  <si>
    <t>Joe (Marianna)</t>
  </si>
  <si>
    <t>Ali (Hilary)</t>
  </si>
  <si>
    <t>Phil (Hilary)</t>
  </si>
  <si>
    <t>Dexter (Hilary)</t>
  </si>
  <si>
    <t>Jennifer (Andrea)</t>
  </si>
  <si>
    <t>Nick (Jack)</t>
  </si>
  <si>
    <t>Pamela (Joy)</t>
  </si>
  <si>
    <t>Jim (Merk)</t>
  </si>
  <si>
    <t>Cam (Joel)</t>
  </si>
  <si>
    <t>Matt (McDonoughs)</t>
  </si>
  <si>
    <t>Asnika (McDonoughs)</t>
  </si>
  <si>
    <t>Dave (Peter)</t>
  </si>
  <si>
    <t>Gage (Daniel)</t>
  </si>
  <si>
    <t>Jason (Maria)</t>
  </si>
  <si>
    <t>Justin (Zac)</t>
  </si>
  <si>
    <t>Annie (Mary H)</t>
  </si>
  <si>
    <t>Annie Husband (Mary H)</t>
  </si>
  <si>
    <t>Sora Yu</t>
  </si>
  <si>
    <t>Ben Kenny`</t>
  </si>
  <si>
    <t>Linda Kenny</t>
  </si>
  <si>
    <t>Sophie</t>
  </si>
  <si>
    <t>Anj mom</t>
  </si>
  <si>
    <t>Anj Dad</t>
  </si>
  <si>
    <t>Megan (Ricc)</t>
  </si>
  <si>
    <t>Craig Robinson</t>
  </si>
  <si>
    <t>Laura Robinson</t>
  </si>
  <si>
    <t>Phil's dad</t>
  </si>
  <si>
    <t>Noah (Phil's brother)</t>
  </si>
  <si>
    <t>Andrea's Mom</t>
  </si>
  <si>
    <t>Andrea's Dad</t>
  </si>
  <si>
    <t>Ben McNeil (Tiffany)</t>
  </si>
  <si>
    <t>Rose Peacock</t>
  </si>
  <si>
    <t>Michael Peacock</t>
  </si>
  <si>
    <t>Youness</t>
  </si>
  <si>
    <t>Gafreeda</t>
  </si>
  <si>
    <t>Erica (Jennie T)</t>
  </si>
  <si>
    <t>Karen</t>
  </si>
  <si>
    <t>Gerard</t>
  </si>
  <si>
    <t>Shannon (Anj)</t>
  </si>
  <si>
    <t>Jeff (Ben)</t>
  </si>
  <si>
    <t>Nate (Ben)</t>
  </si>
  <si>
    <t>Hannah (Yao)</t>
  </si>
  <si>
    <t>Fausto (Yao)</t>
  </si>
  <si>
    <t>SAGE</t>
  </si>
  <si>
    <t>Ruth (Mary H Mom)</t>
  </si>
  <si>
    <t>Victor (Lane)</t>
  </si>
  <si>
    <t>Alyssa (Lane)</t>
  </si>
  <si>
    <t>Matt M (Lane)</t>
  </si>
  <si>
    <t>Tomas and girlfriend were there for happy hour</t>
  </si>
  <si>
    <t>Zach Gregory visiting to check out our syle Homechurch</t>
  </si>
  <si>
    <t>Erika</t>
  </si>
  <si>
    <t>Anjelica Moreno</t>
  </si>
  <si>
    <t>Tiffany</t>
  </si>
  <si>
    <t>/</t>
  </si>
  <si>
    <t>Ali's Husband (Hilary)</t>
  </si>
  <si>
    <t>Jack Walker (NO MORE)</t>
  </si>
  <si>
    <t>Katelynn Walker (NO MORE</t>
  </si>
  <si>
    <t>Hilary Scunda (NO MORE</t>
  </si>
  <si>
    <t>Matt Skunda (NO MORE</t>
  </si>
  <si>
    <t>Jake Daniell</t>
  </si>
  <si>
    <t>Hannah Daniell</t>
  </si>
  <si>
    <t>Sara Demay</t>
  </si>
  <si>
    <t>Lauren</t>
  </si>
  <si>
    <t>Robin</t>
  </si>
  <si>
    <t>David</t>
  </si>
  <si>
    <t>Gabe</t>
  </si>
  <si>
    <t>Monique</t>
  </si>
  <si>
    <t>Michael</t>
  </si>
  <si>
    <t>Ben</t>
  </si>
  <si>
    <t>Jose (Mariah)</t>
  </si>
  <si>
    <t>Kathryn Kiggins</t>
  </si>
  <si>
    <t>guy Biederman</t>
  </si>
  <si>
    <t>Alyssa Biederman</t>
  </si>
  <si>
    <t>Amber Daniel</t>
  </si>
  <si>
    <t>Jess</t>
  </si>
  <si>
    <t>Mr Robinson</t>
  </si>
  <si>
    <t>Mrs Robinson</t>
  </si>
  <si>
    <t>Trevor (Joy)</t>
  </si>
  <si>
    <t>Riki Baumgartner</t>
  </si>
  <si>
    <t>Jackson Baumgartner</t>
  </si>
  <si>
    <t>Evan Laatsch</t>
  </si>
  <si>
    <t>Ethan Robinson</t>
  </si>
  <si>
    <t>Alan (name?)</t>
  </si>
  <si>
    <t>Ewal</t>
  </si>
  <si>
    <t>Mona</t>
  </si>
  <si>
    <t>Ewal/Mona friend</t>
  </si>
  <si>
    <t>Cagla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</si>
</sst>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"/>
    <numFmt numFmtId="165" formatCode="m/d/yy"/>
    <numFmt numFmtId="166" formatCode="m/d"/>
  </numFmts>
  <fonts count="1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b/>
      <color rgb="FF000000"/>
      <name val="Arial"/>
      <scheme val="minor"/>
    </font>
    <font>
      <color theme="1"/>
      <name val="Arial"/>
    </font>
    <font>
      <color rgb="FF222222"/>
      <name val="Arial"/>
    </font>
    <font>
      <color rgb="FF000000"/>
      <name val="Arial"/>
    </font>
    <font>
      <strike/>
      <color theme="1"/>
      <name val="Arial"/>
      <scheme val="minor"/>
    </font>
    <font>
      <strike/>
      <color rgb="FF222222"/>
      <name val="Arial"/>
    </font>
    <font>
      <b/>
      <color rgb="FFEFEFEF"/>
      <name val="Arial"/>
      <scheme val="minor"/>
    </font>
    <font>
      <b/>
      <color rgb="FFF3F3F3"/>
      <name val="Arial"/>
      <scheme val="minor"/>
    </font>
    <font>
      <sz val="50.0"/>
      <color theme="1"/>
      <name val="Arial"/>
      <scheme val="minor"/>
    </font>
    <font>
      <color rgb="FF00FF00"/>
      <name val="Arial"/>
    </font>
    <font>
      <b/>
      <sz val="12.0"/>
      <color theme="1"/>
      <name val="Roboto Serif"/>
    </font>
    <font>
      <b/>
      <sz val="12.0"/>
      <color rgb="FF000000"/>
      <name val="Roboto Serif"/>
    </font>
    <font>
      <b/>
      <color rgb="FFFFFFFF"/>
      <name val="Arial"/>
      <scheme val="minor"/>
    </font>
    <font>
      <color rgb="FFFFFFFF"/>
      <name val="Arial"/>
      <scheme val="minor"/>
    </font>
    <font>
      <strike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38761D"/>
        <bgColor rgb="FF38761D"/>
      </patternFill>
    </fill>
    <fill>
      <patternFill patternType="solid">
        <fgColor rgb="FF999999"/>
        <bgColor rgb="FF999999"/>
      </patternFill>
    </fill>
    <fill>
      <patternFill patternType="solid">
        <fgColor rgb="FF660000"/>
        <bgColor rgb="FF660000"/>
      </patternFill>
    </fill>
    <fill>
      <patternFill patternType="solid">
        <fgColor rgb="FF9FC5E8"/>
        <bgColor rgb="FF9FC5E8"/>
      </patternFill>
    </fill>
    <fill>
      <patternFill patternType="solid">
        <fgColor rgb="FF3D85C6"/>
        <bgColor rgb="FF3D85C6"/>
      </patternFill>
    </fill>
    <fill>
      <patternFill patternType="solid">
        <fgColor rgb="FF073763"/>
        <bgColor rgb="FF073763"/>
      </patternFill>
    </fill>
    <fill>
      <patternFill patternType="solid">
        <fgColor rgb="FF666666"/>
        <bgColor rgb="FF666666"/>
      </patternFill>
    </fill>
    <fill>
      <patternFill patternType="solid">
        <fgColor rgb="FF00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top style="thick">
        <color rgb="FF000000"/>
      </top>
    </border>
    <border>
      <top style="thick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2" fontId="1" numFmtId="164" xfId="0" applyAlignment="1" applyFill="1" applyFont="1" applyNumberFormat="1">
      <alignment horizontal="center" readingOrder="0"/>
    </xf>
    <xf borderId="0" fillId="3" fontId="1" numFmtId="165" xfId="0" applyAlignment="1" applyFill="1" applyFont="1" applyNumberFormat="1">
      <alignment horizontal="center" readingOrder="0"/>
    </xf>
    <xf borderId="1" fillId="4" fontId="1" numFmtId="0" xfId="0" applyAlignment="1" applyBorder="1" applyFill="1" applyFont="1">
      <alignment horizontal="center" readingOrder="0" textRotation="90" vertical="center"/>
    </xf>
    <xf borderId="2" fillId="0" fontId="2" numFmtId="0" xfId="0" applyAlignment="1" applyBorder="1" applyFont="1">
      <alignment horizontal="center" readingOrder="0"/>
    </xf>
    <xf borderId="2" fillId="5" fontId="2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horizontal="center"/>
    </xf>
    <xf borderId="2" fillId="2" fontId="2" numFmtId="0" xfId="0" applyAlignment="1" applyBorder="1" applyFont="1">
      <alignment horizontal="center" readingOrder="0" shrinkToFit="0" textRotation="90" vertical="center" wrapText="1"/>
    </xf>
    <xf borderId="2" fillId="3" fontId="2" numFmtId="0" xfId="0" applyAlignment="1" applyBorder="1" applyFont="1">
      <alignment horizontal="center" readingOrder="0" textRotation="90" vertical="center"/>
    </xf>
    <xf borderId="2" fillId="0" fontId="2" numFmtId="0" xfId="0" applyBorder="1" applyFont="1"/>
    <xf borderId="2" fillId="3" fontId="2" numFmtId="0" xfId="0" applyBorder="1" applyFont="1"/>
    <xf borderId="3" fillId="0" fontId="3" numFmtId="0" xfId="0" applyBorder="1" applyFont="1"/>
    <xf borderId="0" fillId="0" fontId="2" numFmtId="0" xfId="0" applyAlignment="1" applyFont="1">
      <alignment horizontal="center" readingOrder="0"/>
    </xf>
    <xf borderId="0" fillId="5" fontId="2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6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4" fillId="0" fontId="3" numFmtId="0" xfId="0" applyBorder="1" applyFont="1"/>
    <xf borderId="1" fillId="7" fontId="4" numFmtId="0" xfId="0" applyAlignment="1" applyBorder="1" applyFill="1" applyFont="1">
      <alignment horizontal="center" readingOrder="0" textRotation="90" vertical="center"/>
    </xf>
    <xf borderId="2" fillId="0" fontId="5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vertical="bottom"/>
    </xf>
    <xf borderId="2" fillId="3" fontId="2" numFmtId="0" xfId="0" applyAlignment="1" applyBorder="1" applyFont="1">
      <alignment horizontal="center" readingOrder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6" fontId="6" numFmtId="0" xfId="0" applyAlignment="1" applyFont="1">
      <alignment horizontal="center" readingOrder="0"/>
    </xf>
    <xf borderId="0" fillId="0" fontId="5" numFmtId="0" xfId="0" applyAlignment="1" applyFont="1">
      <alignment readingOrder="0" vertical="bottom"/>
    </xf>
    <xf borderId="0" fillId="5" fontId="7" numFmtId="0" xfId="0" applyAlignment="1" applyFont="1">
      <alignment horizontal="center" readingOrder="0"/>
    </xf>
    <xf borderId="1" fillId="8" fontId="4" numFmtId="0" xfId="0" applyAlignment="1" applyBorder="1" applyFill="1" applyFont="1">
      <alignment horizontal="center" readingOrder="0" textRotation="90" vertical="center"/>
    </xf>
    <xf borderId="2" fillId="6" fontId="2" numFmtId="0" xfId="0" applyAlignment="1" applyBorder="1" applyFont="1">
      <alignment horizontal="center" readingOrder="0"/>
    </xf>
    <xf borderId="2" fillId="3" fontId="2" numFmtId="0" xfId="0" applyAlignment="1" applyBorder="1" applyFont="1">
      <alignment horizontal="center"/>
    </xf>
    <xf borderId="0" fillId="0" fontId="8" numFmtId="0" xfId="0" applyAlignment="1" applyFont="1">
      <alignment horizontal="center" readingOrder="0"/>
    </xf>
    <xf borderId="0" fillId="6" fontId="9" numFmtId="0" xfId="0" applyAlignment="1" applyFont="1">
      <alignment horizontal="center" readingOrder="0"/>
    </xf>
    <xf borderId="4" fillId="8" fontId="4" numFmtId="0" xfId="0" applyAlignment="1" applyBorder="1" applyFont="1">
      <alignment horizontal="center" readingOrder="0" textRotation="90" vertical="center"/>
    </xf>
    <xf borderId="3" fillId="9" fontId="4" numFmtId="0" xfId="0" applyAlignment="1" applyBorder="1" applyFill="1" applyFont="1">
      <alignment horizontal="center" readingOrder="0" shrinkToFit="0" textRotation="90" vertical="center" wrapText="1"/>
    </xf>
    <xf borderId="2" fillId="6" fontId="9" numFmtId="0" xfId="0" applyAlignment="1" applyBorder="1" applyFont="1">
      <alignment horizontal="center" readingOrder="0"/>
    </xf>
    <xf borderId="2" fillId="10" fontId="2" numFmtId="0" xfId="0" applyAlignment="1" applyBorder="1" applyFill="1" applyFont="1">
      <alignment horizontal="center" readingOrder="0"/>
    </xf>
    <xf borderId="0" fillId="10" fontId="2" numFmtId="0" xfId="0" applyAlignment="1" applyFont="1">
      <alignment horizontal="center" readingOrder="0"/>
    </xf>
    <xf borderId="0" fillId="9" fontId="1" numFmtId="0" xfId="0" applyAlignment="1" applyFont="1">
      <alignment horizontal="center" readingOrder="0"/>
    </xf>
    <xf borderId="0" fillId="5" fontId="2" numFmtId="0" xfId="0" applyAlignment="1" applyFont="1">
      <alignment horizontal="center"/>
    </xf>
    <xf borderId="0" fillId="10" fontId="2" numFmtId="0" xfId="0" applyAlignment="1" applyFont="1">
      <alignment horizontal="center"/>
    </xf>
    <xf borderId="0" fillId="3" fontId="2" numFmtId="0" xfId="0" applyAlignment="1" applyFont="1">
      <alignment horizontal="center"/>
    </xf>
    <xf borderId="5" fillId="9" fontId="10" numFmtId="0" xfId="0" applyAlignment="1" applyBorder="1" applyFont="1">
      <alignment horizontal="center" readingOrder="0" shrinkToFit="0" textRotation="90" vertical="center" wrapText="1"/>
    </xf>
    <xf borderId="0" fillId="9" fontId="2" numFmtId="0" xfId="0" applyAlignment="1" applyFont="1">
      <alignment horizontal="center"/>
    </xf>
    <xf borderId="6" fillId="11" fontId="11" numFmtId="0" xfId="0" applyAlignment="1" applyBorder="1" applyFill="1" applyFont="1">
      <alignment horizontal="center" readingOrder="0" textRotation="90" vertical="center"/>
    </xf>
    <xf borderId="0" fillId="2" fontId="2" numFmtId="0" xfId="0" applyAlignment="1" applyFont="1">
      <alignment horizontal="center"/>
    </xf>
    <xf borderId="0" fillId="10" fontId="12" numFmtId="0" xfId="0" applyAlignment="1" applyFont="1">
      <alignment horizontal="center" readingOrder="0" textRotation="90" vertical="center"/>
    </xf>
    <xf borderId="0" fillId="11" fontId="2" numFmtId="0" xfId="0" applyAlignment="1" applyFont="1">
      <alignment horizontal="center"/>
    </xf>
    <xf borderId="0" fillId="2" fontId="2" numFmtId="0" xfId="0" applyFont="1"/>
    <xf borderId="0" fillId="10" fontId="2" numFmtId="0" xfId="0" applyFont="1"/>
    <xf borderId="0" fillId="3" fontId="2" numFmtId="0" xfId="0" applyFont="1"/>
    <xf borderId="0" fillId="0" fontId="13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wrapText="1"/>
    </xf>
    <xf borderId="5" fillId="4" fontId="2" numFmtId="0" xfId="0" applyAlignment="1" applyBorder="1" applyFont="1">
      <alignment horizontal="center"/>
    </xf>
    <xf borderId="5" fillId="4" fontId="1" numFmtId="0" xfId="0" applyAlignment="1" applyBorder="1" applyFont="1">
      <alignment horizontal="center" readingOrder="0" vertical="center"/>
    </xf>
    <xf borderId="0" fillId="0" fontId="2" numFmtId="0" xfId="0" applyFont="1"/>
    <xf borderId="0" fillId="0" fontId="14" numFmtId="0" xfId="0" applyAlignment="1" applyFont="1">
      <alignment horizontal="center" shrinkToFit="0" textRotation="0" vertical="center" wrapText="1"/>
    </xf>
    <xf borderId="0" fillId="0" fontId="14" numFmtId="0" xfId="0" applyAlignment="1" applyFont="1">
      <alignment horizontal="center" shrinkToFit="0" vertical="center" wrapText="1"/>
    </xf>
    <xf borderId="0" fillId="2" fontId="14" numFmtId="0" xfId="0" applyAlignment="1" applyFont="1">
      <alignment horizontal="center" shrinkToFit="0" vertical="center" wrapText="1"/>
    </xf>
    <xf borderId="0" fillId="3" fontId="14" numFmtId="0" xfId="0" applyAlignment="1" applyFont="1">
      <alignment horizontal="center" shrinkToFit="0" vertical="center" wrapText="1"/>
    </xf>
    <xf borderId="0" fillId="10" fontId="14" numFmtId="0" xfId="0" applyAlignment="1" applyFont="1">
      <alignment horizontal="center" shrinkToFit="0" vertical="center" wrapText="1"/>
    </xf>
    <xf borderId="5" fillId="12" fontId="2" numFmtId="0" xfId="0" applyAlignment="1" applyBorder="1" applyFill="1" applyFont="1">
      <alignment horizontal="center"/>
    </xf>
    <xf borderId="5" fillId="12" fontId="1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center" shrinkToFit="0" vertical="center" wrapText="1"/>
    </xf>
    <xf borderId="0" fillId="2" fontId="15" numFmtId="0" xfId="0" applyAlignment="1" applyFont="1">
      <alignment horizontal="center" shrinkToFit="0" vertical="center" wrapText="1"/>
    </xf>
    <xf borderId="0" fillId="3" fontId="15" numFmtId="0" xfId="0" applyAlignment="1" applyFont="1">
      <alignment horizontal="center" shrinkToFit="0" vertical="center" wrapText="1"/>
    </xf>
    <xf borderId="0" fillId="10" fontId="15" numFmtId="0" xfId="0" applyAlignment="1" applyFont="1">
      <alignment horizontal="center" shrinkToFit="0" vertical="center" wrapText="1"/>
    </xf>
    <xf borderId="5" fillId="7" fontId="2" numFmtId="0" xfId="0" applyAlignment="1" applyBorder="1" applyFont="1">
      <alignment horizontal="center"/>
    </xf>
    <xf borderId="5" fillId="7" fontId="1" numFmtId="0" xfId="0" applyAlignment="1" applyBorder="1" applyFont="1">
      <alignment horizontal="center" readingOrder="0" vertical="center"/>
    </xf>
    <xf borderId="5" fillId="13" fontId="2" numFmtId="0" xfId="0" applyAlignment="1" applyBorder="1" applyFill="1" applyFont="1">
      <alignment horizontal="center"/>
    </xf>
    <xf borderId="5" fillId="13" fontId="16" numFmtId="0" xfId="0" applyAlignment="1" applyBorder="1" applyFont="1">
      <alignment horizontal="center" readingOrder="0" vertical="center"/>
    </xf>
    <xf borderId="5" fillId="11" fontId="2" numFmtId="0" xfId="0" applyAlignment="1" applyBorder="1" applyFont="1">
      <alignment horizontal="center"/>
    </xf>
    <xf borderId="5" fillId="11" fontId="16" numFmtId="0" xfId="0" applyAlignment="1" applyBorder="1" applyFont="1">
      <alignment horizontal="center" readingOrder="0" vertical="center"/>
    </xf>
    <xf borderId="0" fillId="0" fontId="14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2" fontId="14" numFmtId="0" xfId="0" applyAlignment="1" applyFont="1">
      <alignment horizontal="center" shrinkToFit="0" vertical="center" wrapText="1"/>
    </xf>
    <xf borderId="0" fillId="3" fontId="14" numFmtId="0" xfId="0" applyAlignment="1" applyFont="1">
      <alignment horizontal="center" shrinkToFit="0" vertical="center" wrapText="1"/>
    </xf>
    <xf borderId="0" fillId="10" fontId="14" numFmtId="0" xfId="0" applyAlignment="1" applyFont="1">
      <alignment horizontal="center" shrinkToFit="0" vertical="center" wrapText="1"/>
    </xf>
    <xf borderId="5" fillId="9" fontId="2" numFmtId="0" xfId="0" applyAlignment="1" applyBorder="1" applyFont="1">
      <alignment horizontal="center"/>
    </xf>
    <xf borderId="5" fillId="9" fontId="16" numFmtId="0" xfId="0" applyAlignment="1" applyBorder="1" applyFont="1">
      <alignment horizontal="center" readingOrder="0" vertical="center"/>
    </xf>
    <xf borderId="5" fillId="14" fontId="17" numFmtId="0" xfId="0" applyAlignment="1" applyBorder="1" applyFill="1" applyFont="1">
      <alignment horizontal="center"/>
    </xf>
    <xf borderId="5" fillId="14" fontId="16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/>
    </xf>
    <xf borderId="7" fillId="6" fontId="18" numFmtId="0" xfId="0" applyAlignment="1" applyBorder="1" applyFont="1">
      <alignment horizontal="center" vertical="bottom"/>
    </xf>
    <xf borderId="7" fillId="6" fontId="5" numFmtId="0" xfId="0" applyAlignment="1" applyBorder="1" applyFont="1">
      <alignment horizontal="center" vertical="bottom"/>
    </xf>
    <xf borderId="7" fillId="0" fontId="18" numFmtId="0" xfId="0" applyAlignment="1" applyBorder="1" applyFont="1">
      <alignment horizontal="center" vertical="bottom"/>
    </xf>
    <xf borderId="7" fillId="0" fontId="5" numFmtId="0" xfId="0" applyAlignment="1" applyBorder="1" applyFont="1">
      <alignment horizontal="center" vertical="bottom"/>
    </xf>
    <xf borderId="0" fillId="10" fontId="1" numFmtId="164" xfId="0" applyAlignment="1" applyFont="1" applyNumberFormat="1">
      <alignment horizontal="center" readingOrder="0"/>
    </xf>
    <xf borderId="6" fillId="4" fontId="1" numFmtId="0" xfId="0" applyAlignment="1" applyBorder="1" applyFont="1">
      <alignment horizontal="center" readingOrder="0" textRotation="90" vertical="center"/>
    </xf>
    <xf borderId="0" fillId="6" fontId="8" numFmtId="0" xfId="0" applyAlignment="1" applyFont="1">
      <alignment horizontal="center" readingOrder="0"/>
    </xf>
    <xf borderId="6" fillId="7" fontId="4" numFmtId="0" xfId="0" applyAlignment="1" applyBorder="1" applyFont="1">
      <alignment horizontal="center" readingOrder="0" textRotation="90" vertical="center"/>
    </xf>
    <xf borderId="0" fillId="0" fontId="5" numFmtId="0" xfId="0" applyAlignment="1" applyFont="1">
      <alignment horizontal="center" readingOrder="0" vertical="bottom"/>
    </xf>
    <xf borderId="0" fillId="7" fontId="2" numFmtId="0" xfId="0" applyAlignment="1" applyFont="1">
      <alignment horizontal="center"/>
    </xf>
    <xf borderId="6" fillId="8" fontId="16" numFmtId="0" xfId="0" applyAlignment="1" applyBorder="1" applyFont="1">
      <alignment horizontal="center" readingOrder="0" textRotation="90" vertical="center"/>
    </xf>
    <xf borderId="0" fillId="8" fontId="2" numFmtId="0" xfId="0" applyAlignment="1" applyFont="1">
      <alignment horizontal="center"/>
    </xf>
    <xf borderId="6" fillId="9" fontId="10" numFmtId="0" xfId="0" applyAlignment="1" applyBorder="1" applyFont="1">
      <alignment horizontal="center" readingOrder="0" shrinkToFit="0" textRotation="90" vertical="center" wrapText="1"/>
    </xf>
    <xf borderId="0" fillId="15" fontId="1" numFmtId="165" xfId="0" applyAlignment="1" applyFill="1" applyFont="1" applyNumberFormat="1">
      <alignment horizontal="center" readingOrder="0"/>
    </xf>
    <xf borderId="0" fillId="10" fontId="1" numFmtId="165" xfId="0" applyAlignment="1" applyFont="1" applyNumberFormat="1">
      <alignment horizontal="center" readingOrder="0"/>
    </xf>
    <xf borderId="0" fillId="16" fontId="1" numFmtId="165" xfId="0" applyAlignment="1" applyFill="1" applyFont="1" applyNumberFormat="1">
      <alignment horizontal="center" readingOrder="0"/>
    </xf>
    <xf borderId="0" fillId="16" fontId="1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15" fontId="2" numFmtId="0" xfId="0" applyAlignment="1" applyFont="1">
      <alignment horizontal="center" readingOrder="0"/>
    </xf>
    <xf borderId="0" fillId="15" fontId="2" numFmtId="0" xfId="0" applyAlignment="1" applyFont="1">
      <alignment horizontal="center"/>
    </xf>
    <xf borderId="0" fillId="16" fontId="2" numFmtId="0" xfId="0" applyAlignment="1" applyFont="1">
      <alignment horizontal="center"/>
    </xf>
    <xf borderId="0" fillId="16" fontId="2" numFmtId="0" xfId="0" applyAlignment="1" applyFont="1">
      <alignment horizontal="center" readingOrder="0"/>
    </xf>
    <xf borderId="0" fillId="16" fontId="2" numFmtId="0" xfId="0" applyFont="1"/>
    <xf borderId="0" fillId="4" fontId="2" numFmtId="0" xfId="0" applyAlignment="1" applyFont="1">
      <alignment horizontal="center"/>
    </xf>
    <xf borderId="0" fillId="0" fontId="5" numFmtId="0" xfId="0" applyAlignment="1" applyFont="1">
      <alignment horizontal="center" readingOrder="0" vertical="bottom"/>
    </xf>
    <xf borderId="0" fillId="5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15" fontId="5" numFmtId="0" xfId="0" applyAlignment="1" applyFont="1">
      <alignment vertical="bottom"/>
    </xf>
    <xf borderId="0" fillId="10" fontId="5" numFmtId="0" xfId="0" applyAlignment="1" applyFont="1">
      <alignment vertical="bottom"/>
    </xf>
    <xf borderId="0" fillId="10" fontId="5" numFmtId="0" xfId="0" applyAlignment="1" applyFont="1">
      <alignment horizontal="center" vertical="bottom"/>
    </xf>
    <xf borderId="0" fillId="5" fontId="5" numFmtId="0" xfId="0" applyAlignment="1" applyFont="1">
      <alignment vertical="bottom"/>
    </xf>
    <xf borderId="0" fillId="16" fontId="5" numFmtId="0" xfId="0" applyAlignment="1" applyFont="1">
      <alignment horizontal="center" vertical="bottom"/>
    </xf>
    <xf borderId="0" fillId="16" fontId="5" numFmtId="0" xfId="0" applyAlignment="1" applyFont="1">
      <alignment vertical="bottom"/>
    </xf>
    <xf borderId="0" fillId="16" fontId="5" numFmtId="0" xfId="0" applyAlignment="1" applyFont="1">
      <alignment horizontal="center" readingOrder="0" vertical="bottom"/>
    </xf>
    <xf borderId="5" fillId="5" fontId="14" numFmtId="0" xfId="0" applyAlignment="1" applyBorder="1" applyFont="1">
      <alignment horizontal="center" shrinkToFit="0" textRotation="0" vertical="center" wrapText="1"/>
    </xf>
    <xf borderId="5" fillId="5" fontId="14" numFmtId="0" xfId="0" applyAlignment="1" applyBorder="1" applyFont="1">
      <alignment horizontal="center" shrinkToFit="0" vertical="center" wrapText="1"/>
    </xf>
    <xf borderId="5" fillId="15" fontId="14" numFmtId="0" xfId="0" applyAlignment="1" applyBorder="1" applyFont="1">
      <alignment horizontal="center" shrinkToFit="0" vertical="center" wrapText="1"/>
    </xf>
    <xf borderId="5" fillId="10" fontId="14" numFmtId="0" xfId="0" applyAlignment="1" applyBorder="1" applyFont="1">
      <alignment horizontal="center" shrinkToFit="0" vertical="center" wrapText="1"/>
    </xf>
    <xf borderId="5" fillId="16" fontId="14" numFmtId="0" xfId="0" applyAlignment="1" applyBorder="1" applyFont="1">
      <alignment horizontal="center" shrinkToFit="0" vertical="center" wrapText="1"/>
    </xf>
    <xf borderId="0" fillId="5" fontId="14" numFmtId="0" xfId="0" applyAlignment="1" applyFont="1">
      <alignment horizontal="center" shrinkToFit="0" vertical="center" wrapText="1"/>
    </xf>
    <xf borderId="5" fillId="5" fontId="15" numFmtId="0" xfId="0" applyAlignment="1" applyBorder="1" applyFont="1">
      <alignment horizontal="center" shrinkToFit="0" vertical="center" wrapText="1"/>
    </xf>
    <xf borderId="5" fillId="15" fontId="15" numFmtId="0" xfId="0" applyAlignment="1" applyBorder="1" applyFont="1">
      <alignment horizontal="center" shrinkToFit="0" vertical="center" wrapText="1"/>
    </xf>
    <xf borderId="5" fillId="10" fontId="15" numFmtId="0" xfId="0" applyAlignment="1" applyBorder="1" applyFont="1">
      <alignment horizontal="center" shrinkToFit="0" vertical="center" wrapText="1"/>
    </xf>
    <xf borderId="5" fillId="16" fontId="15" numFmtId="0" xfId="0" applyAlignment="1" applyBorder="1" applyFont="1">
      <alignment horizontal="center" shrinkToFit="0" vertical="center" wrapText="1"/>
    </xf>
    <xf borderId="0" fillId="5" fontId="15" numFmtId="0" xfId="0" applyAlignment="1" applyFont="1">
      <alignment horizontal="center" shrinkToFit="0" vertical="center" wrapText="1"/>
    </xf>
    <xf borderId="5" fillId="5" fontId="14" numFmtId="0" xfId="0" applyAlignment="1" applyBorder="1" applyFont="1">
      <alignment horizontal="center" shrinkToFit="0" vertical="center" wrapText="1"/>
    </xf>
    <xf borderId="5" fillId="15" fontId="14" numFmtId="0" xfId="0" applyAlignment="1" applyBorder="1" applyFont="1">
      <alignment horizontal="center" shrinkToFit="0" vertical="center" wrapText="1"/>
    </xf>
    <xf borderId="5" fillId="10" fontId="14" numFmtId="0" xfId="0" applyAlignment="1" applyBorder="1" applyFont="1">
      <alignment horizontal="center" shrinkToFit="0" vertical="center" wrapText="1"/>
    </xf>
    <xf borderId="5" fillId="16" fontId="14" numFmtId="0" xfId="0" applyAlignment="1" applyBorder="1" applyFont="1">
      <alignment horizontal="center" shrinkToFit="0" vertical="center" wrapText="1"/>
    </xf>
    <xf borderId="0" fillId="5" fontId="14" numFmtId="0" xfId="0" applyAlignment="1" applyFont="1">
      <alignment horizontal="center" shrinkToFit="0" vertical="center" wrapText="1"/>
    </xf>
    <xf borderId="0" fillId="15" fontId="2" numFmtId="0" xfId="0" applyFont="1"/>
    <xf borderId="0" fillId="6" fontId="13" numFmtId="0" xfId="0" applyAlignment="1" applyFont="1">
      <alignment readingOrder="0" shrinkToFit="0" wrapText="1"/>
    </xf>
    <xf borderId="0" fillId="0" fontId="1" numFmtId="166" xfId="0" applyAlignment="1" applyFont="1" applyNumberFormat="1">
      <alignment horizontal="center" readingOrder="0"/>
    </xf>
    <xf borderId="0" fillId="5" fontId="1" numFmtId="166" xfId="0" applyAlignment="1" applyFont="1" applyNumberFormat="1">
      <alignment horizontal="center" readingOrder="0"/>
    </xf>
    <xf borderId="0" fillId="4" fontId="1" numFmtId="0" xfId="0" applyAlignment="1" applyFont="1">
      <alignment horizontal="center" readingOrder="0" vertical="center"/>
    </xf>
    <xf borderId="0" fillId="4" fontId="1" numFmtId="0" xfId="0" applyAlignment="1" applyFont="1">
      <alignment horizontal="center" readingOrder="0"/>
    </xf>
    <xf borderId="0" fillId="7" fontId="4" numFmtId="0" xfId="0" applyAlignment="1" applyFont="1">
      <alignment horizontal="center" readingOrder="0" vertical="center"/>
    </xf>
    <xf borderId="0" fillId="8" fontId="16" numFmtId="0" xfId="0" applyAlignment="1" applyFont="1">
      <alignment horizontal="center" readingOrder="0"/>
    </xf>
    <xf borderId="0" fillId="8" fontId="10" numFmtId="0" xfId="0" applyAlignment="1" applyFont="1">
      <alignment horizontal="center" readingOrder="0" vertical="center"/>
    </xf>
    <xf borderId="0" fillId="8" fontId="5" numFmtId="0" xfId="0" applyAlignment="1" applyFont="1">
      <alignment vertical="bottom"/>
    </xf>
    <xf borderId="0" fillId="9" fontId="10" numFmtId="0" xfId="0" applyAlignment="1" applyFont="1">
      <alignment horizontal="center" readingOrder="0" vertical="center"/>
    </xf>
    <xf borderId="0" fillId="11" fontId="11" numFmtId="0" xfId="0" applyAlignment="1" applyFont="1">
      <alignment horizontal="center" readingOrder="0" vertical="center"/>
    </xf>
    <xf borderId="0" fillId="12" fontId="2" numFmtId="0" xfId="0" applyAlignment="1" applyFont="1">
      <alignment horizontal="center"/>
    </xf>
    <xf borderId="0" fillId="12" fontId="1" numFmtId="0" xfId="0" applyAlignment="1" applyFont="1">
      <alignment horizontal="center" readingOrder="0" vertical="center"/>
    </xf>
    <xf borderId="0" fillId="7" fontId="1" numFmtId="0" xfId="0" applyAlignment="1" applyFont="1">
      <alignment horizontal="center" readingOrder="0" vertical="center"/>
    </xf>
    <xf borderId="0" fillId="13" fontId="2" numFmtId="0" xfId="0" applyAlignment="1" applyFont="1">
      <alignment horizontal="center"/>
    </xf>
    <xf borderId="0" fillId="13" fontId="16" numFmtId="0" xfId="0" applyAlignment="1" applyFont="1">
      <alignment horizontal="center" readingOrder="0" vertical="center"/>
    </xf>
    <xf borderId="0" fillId="11" fontId="16" numFmtId="0" xfId="0" applyAlignment="1" applyFont="1">
      <alignment horizontal="center" readingOrder="0" vertical="center"/>
    </xf>
    <xf borderId="0" fillId="9" fontId="16" numFmtId="0" xfId="0" applyAlignment="1" applyFont="1">
      <alignment horizontal="center" readingOrder="0" vertical="center"/>
    </xf>
    <xf borderId="0" fillId="14" fontId="17" numFmtId="0" xfId="0" applyAlignment="1" applyFont="1">
      <alignment horizontal="center"/>
    </xf>
    <xf borderId="0" fillId="14" fontId="16" numFmtId="0" xfId="0" applyAlignment="1" applyFont="1">
      <alignment horizontal="center" readingOrder="0" vertical="center"/>
    </xf>
    <xf borderId="0" fillId="0" fontId="2" numFmtId="166" xfId="0" applyAlignment="1" applyFont="1" applyNumberFormat="1">
      <alignment horizontal="center" readingOrder="0"/>
    </xf>
  </cellXfs>
  <cellStyles count="1">
    <cellStyle xfId="0" name="Normal" builtinId="0"/>
  </cellStyles>
  <dxfs count="6">
    <dxf>
      <font>
        <b/>
      </font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0B5394"/>
          <bgColor rgb="FF0B5394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  <dxf>
      <font>
        <b/>
        <strike/>
        <u/>
        <color theme="1"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3.13"/>
    <col customWidth="1" min="2" max="2" width="24.75"/>
    <col customWidth="1" min="11" max="11" width="13.75"/>
    <col customWidth="1" min="50" max="55" width="20.88"/>
  </cols>
  <sheetData>
    <row r="1">
      <c r="A1" s="1"/>
      <c r="B1" s="2" t="s">
        <v>0</v>
      </c>
      <c r="C1" s="2" t="s">
        <v>1</v>
      </c>
      <c r="D1" s="3">
        <v>45659.0</v>
      </c>
      <c r="E1" s="4">
        <v>45666.0</v>
      </c>
      <c r="F1" s="3">
        <v>45673.0</v>
      </c>
      <c r="G1" s="3">
        <v>45680.0</v>
      </c>
      <c r="H1" s="3">
        <v>45687.0</v>
      </c>
      <c r="I1" s="4">
        <v>45694.0</v>
      </c>
      <c r="J1" s="3">
        <v>45701.0</v>
      </c>
      <c r="K1" s="3">
        <v>45708.0</v>
      </c>
      <c r="L1" s="3">
        <v>45715.0</v>
      </c>
      <c r="M1" s="4">
        <v>45722.0</v>
      </c>
      <c r="N1" s="3">
        <v>45729.0</v>
      </c>
      <c r="O1" s="3">
        <v>45736.0</v>
      </c>
      <c r="P1" s="3">
        <v>45743.0</v>
      </c>
      <c r="Q1" s="4">
        <v>45750.0</v>
      </c>
      <c r="R1" s="3">
        <v>45757.0</v>
      </c>
      <c r="S1" s="3">
        <v>45764.0</v>
      </c>
      <c r="T1" s="3">
        <v>45771.0</v>
      </c>
      <c r="U1" s="4">
        <v>45778.0</v>
      </c>
      <c r="V1" s="3">
        <v>45785.0</v>
      </c>
      <c r="W1" s="3">
        <v>45792.0</v>
      </c>
      <c r="X1" s="3">
        <v>45799.0</v>
      </c>
      <c r="Y1" s="4">
        <v>45806.0</v>
      </c>
      <c r="Z1" s="3">
        <v>45813.0</v>
      </c>
      <c r="AA1" s="3">
        <v>45820.0</v>
      </c>
      <c r="AB1" s="3">
        <v>45827.0</v>
      </c>
      <c r="AC1" s="4">
        <v>45834.0</v>
      </c>
      <c r="AD1" s="3">
        <v>45841.0</v>
      </c>
      <c r="AE1" s="5">
        <v>45848.0</v>
      </c>
      <c r="AF1" s="3">
        <v>45855.0</v>
      </c>
      <c r="AG1" s="6">
        <v>45862.0</v>
      </c>
      <c r="AH1" s="3">
        <v>45869.0</v>
      </c>
      <c r="AI1" s="3">
        <v>45876.0</v>
      </c>
      <c r="AJ1" s="3">
        <v>45883.0</v>
      </c>
      <c r="AK1" s="4">
        <v>45890.0</v>
      </c>
      <c r="AL1" s="3">
        <v>45897.0</v>
      </c>
      <c r="AM1" s="3">
        <v>45904.0</v>
      </c>
      <c r="AN1" s="3">
        <v>45911.0</v>
      </c>
      <c r="AO1" s="4">
        <v>45918.0</v>
      </c>
      <c r="AP1" s="3">
        <v>45925.0</v>
      </c>
      <c r="AQ1" s="3">
        <v>45932.0</v>
      </c>
      <c r="AR1" s="3">
        <v>45939.0</v>
      </c>
      <c r="AS1" s="4">
        <v>45946.0</v>
      </c>
      <c r="AT1" s="3">
        <v>45953.0</v>
      </c>
      <c r="AU1" s="3">
        <v>45960.0</v>
      </c>
      <c r="AV1" s="3">
        <v>45967.0</v>
      </c>
      <c r="AW1" s="4">
        <v>45974.0</v>
      </c>
      <c r="AX1" s="3">
        <v>45981.0</v>
      </c>
      <c r="AY1" s="3">
        <v>45988.0</v>
      </c>
      <c r="AZ1" s="3">
        <v>45995.0</v>
      </c>
      <c r="BA1" s="4">
        <v>46002.0</v>
      </c>
      <c r="BB1" s="3">
        <v>46009.0</v>
      </c>
      <c r="BC1" s="3">
        <v>46016.0</v>
      </c>
    </row>
    <row r="2">
      <c r="A2" s="7" t="s">
        <v>2</v>
      </c>
      <c r="B2" s="8" t="s">
        <v>3</v>
      </c>
      <c r="C2" s="9" t="s">
        <v>2</v>
      </c>
      <c r="D2" s="8" t="s">
        <v>4</v>
      </c>
      <c r="E2" s="8"/>
      <c r="F2" s="8" t="s">
        <v>4</v>
      </c>
      <c r="G2" s="8" t="s">
        <v>4</v>
      </c>
      <c r="H2" s="8"/>
      <c r="I2" s="8"/>
      <c r="J2" s="8" t="s">
        <v>4</v>
      </c>
      <c r="K2" s="8" t="s">
        <v>4</v>
      </c>
      <c r="L2" s="8" t="s">
        <v>4</v>
      </c>
      <c r="M2" s="8" t="s">
        <v>4</v>
      </c>
      <c r="N2" s="8" t="s">
        <v>4</v>
      </c>
      <c r="O2" s="8" t="s">
        <v>4</v>
      </c>
      <c r="P2" s="10"/>
      <c r="Q2" s="8"/>
      <c r="R2" s="8" t="s">
        <v>4</v>
      </c>
      <c r="S2" s="8" t="s">
        <v>4</v>
      </c>
      <c r="T2" s="8" t="s">
        <v>4</v>
      </c>
      <c r="U2" s="8" t="s">
        <v>4</v>
      </c>
      <c r="V2" s="8" t="s">
        <v>4</v>
      </c>
      <c r="W2" s="8"/>
      <c r="X2" s="8" t="s">
        <v>4</v>
      </c>
      <c r="Y2" s="8" t="s">
        <v>4</v>
      </c>
      <c r="Z2" s="8"/>
      <c r="AA2" s="8" t="s">
        <v>4</v>
      </c>
      <c r="AB2" s="8"/>
      <c r="AC2" s="8" t="s">
        <v>4</v>
      </c>
      <c r="AD2" s="8"/>
      <c r="AE2" s="11" t="s">
        <v>5</v>
      </c>
      <c r="AF2" s="8"/>
      <c r="AG2" s="12" t="s">
        <v>6</v>
      </c>
      <c r="AH2" s="8" t="s">
        <v>4</v>
      </c>
      <c r="AI2" s="8"/>
      <c r="AJ2" s="8"/>
      <c r="AK2" s="8" t="s">
        <v>4</v>
      </c>
      <c r="AL2" s="8"/>
      <c r="AM2" s="8" t="s">
        <v>4</v>
      </c>
      <c r="AN2" s="8"/>
      <c r="AO2" s="8"/>
      <c r="AP2" s="8"/>
      <c r="AQ2" s="8"/>
      <c r="AR2" s="8" t="s">
        <v>4</v>
      </c>
      <c r="AS2" s="8"/>
      <c r="AT2" s="8"/>
      <c r="AU2" s="8"/>
      <c r="AV2" s="8"/>
      <c r="AW2" s="13"/>
      <c r="AX2" s="13"/>
      <c r="AY2" s="14"/>
      <c r="AZ2" s="13"/>
      <c r="BA2" s="13"/>
      <c r="BB2" s="13"/>
      <c r="BC2" s="13"/>
    </row>
    <row r="3">
      <c r="A3" s="15"/>
      <c r="B3" s="16" t="s">
        <v>7</v>
      </c>
      <c r="C3" s="17" t="s">
        <v>2</v>
      </c>
      <c r="D3" s="16" t="s">
        <v>4</v>
      </c>
      <c r="E3" s="16" t="s">
        <v>4</v>
      </c>
      <c r="F3" s="16" t="s">
        <v>4</v>
      </c>
      <c r="G3" s="16" t="s">
        <v>4</v>
      </c>
      <c r="H3" s="16" t="s">
        <v>4</v>
      </c>
      <c r="I3" s="16"/>
      <c r="J3" s="16" t="s">
        <v>4</v>
      </c>
      <c r="K3" s="16" t="s">
        <v>4</v>
      </c>
      <c r="L3" s="16" t="s">
        <v>4</v>
      </c>
      <c r="M3" s="16" t="s">
        <v>4</v>
      </c>
      <c r="N3" s="16" t="s">
        <v>4</v>
      </c>
      <c r="O3" s="16" t="s">
        <v>4</v>
      </c>
      <c r="P3" s="16" t="s">
        <v>4</v>
      </c>
      <c r="Q3" s="16" t="s">
        <v>4</v>
      </c>
      <c r="R3" s="16" t="s">
        <v>4</v>
      </c>
      <c r="S3" s="16" t="s">
        <v>4</v>
      </c>
      <c r="T3" s="16" t="s">
        <v>4</v>
      </c>
      <c r="U3" s="16" t="s">
        <v>4</v>
      </c>
      <c r="V3" s="16" t="s">
        <v>4</v>
      </c>
      <c r="W3" s="16" t="s">
        <v>4</v>
      </c>
      <c r="X3" s="16" t="s">
        <v>4</v>
      </c>
      <c r="Y3" s="16" t="s">
        <v>4</v>
      </c>
      <c r="Z3" s="16" t="s">
        <v>4</v>
      </c>
      <c r="AA3" s="16" t="s">
        <v>4</v>
      </c>
      <c r="AB3" s="16"/>
      <c r="AC3" s="16" t="s">
        <v>4</v>
      </c>
      <c r="AD3" s="16" t="s">
        <v>4</v>
      </c>
      <c r="AF3" s="16" t="s">
        <v>4</v>
      </c>
      <c r="AH3" s="16" t="s">
        <v>4</v>
      </c>
      <c r="AI3" s="16"/>
      <c r="AJ3" s="16"/>
      <c r="AK3" s="16" t="s">
        <v>4</v>
      </c>
      <c r="AL3" s="16"/>
      <c r="AM3" s="16" t="s">
        <v>4</v>
      </c>
      <c r="AN3" s="16" t="s">
        <v>4</v>
      </c>
      <c r="AO3" s="16" t="s">
        <v>4</v>
      </c>
      <c r="AP3" s="16"/>
      <c r="AQ3" s="16"/>
      <c r="AR3" s="16" t="s">
        <v>4</v>
      </c>
      <c r="AS3" s="16"/>
      <c r="AT3" s="16"/>
      <c r="AU3" s="16" t="s">
        <v>4</v>
      </c>
      <c r="AV3" s="16"/>
      <c r="AW3" s="16"/>
      <c r="AX3" s="16"/>
      <c r="AY3" s="18"/>
      <c r="AZ3" s="16"/>
      <c r="BA3" s="16"/>
      <c r="BB3" s="16"/>
      <c r="BC3" s="16"/>
    </row>
    <row r="4">
      <c r="A4" s="15"/>
      <c r="B4" s="16" t="s">
        <v>8</v>
      </c>
      <c r="C4" s="17" t="s">
        <v>2</v>
      </c>
      <c r="D4" s="16" t="s">
        <v>4</v>
      </c>
      <c r="E4" s="16"/>
      <c r="F4" s="16" t="s">
        <v>4</v>
      </c>
      <c r="G4" s="16" t="s">
        <v>4</v>
      </c>
      <c r="H4" s="16"/>
      <c r="I4" s="16" t="s">
        <v>4</v>
      </c>
      <c r="J4" s="16" t="s">
        <v>4</v>
      </c>
      <c r="K4" s="16"/>
      <c r="L4" s="16" t="s">
        <v>4</v>
      </c>
      <c r="M4" s="16" t="s">
        <v>4</v>
      </c>
      <c r="N4" s="16" t="s">
        <v>4</v>
      </c>
      <c r="O4" s="16" t="s">
        <v>4</v>
      </c>
      <c r="P4" s="16" t="s">
        <v>4</v>
      </c>
      <c r="Q4" s="16" t="s">
        <v>4</v>
      </c>
      <c r="R4" s="16" t="s">
        <v>4</v>
      </c>
      <c r="S4" s="16" t="s">
        <v>4</v>
      </c>
      <c r="T4" s="16" t="s">
        <v>4</v>
      </c>
      <c r="U4" s="16" t="s">
        <v>4</v>
      </c>
      <c r="V4" s="16" t="s">
        <v>4</v>
      </c>
      <c r="W4" s="16" t="s">
        <v>4</v>
      </c>
      <c r="X4" s="16" t="s">
        <v>4</v>
      </c>
      <c r="Y4" s="16" t="s">
        <v>4</v>
      </c>
      <c r="Z4" s="16" t="s">
        <v>4</v>
      </c>
      <c r="AA4" s="16" t="s">
        <v>4</v>
      </c>
      <c r="AB4" s="16" t="s">
        <v>4</v>
      </c>
      <c r="AC4" s="16" t="s">
        <v>4</v>
      </c>
      <c r="AD4" s="16" t="s">
        <v>4</v>
      </c>
      <c r="AF4" s="16"/>
      <c r="AH4" s="16" t="s">
        <v>4</v>
      </c>
      <c r="AI4" s="16" t="s">
        <v>4</v>
      </c>
      <c r="AJ4" s="16" t="s">
        <v>4</v>
      </c>
      <c r="AK4" s="16" t="s">
        <v>4</v>
      </c>
      <c r="AL4" s="16" t="s">
        <v>4</v>
      </c>
      <c r="AM4" s="16" t="s">
        <v>4</v>
      </c>
      <c r="AN4" s="16" t="s">
        <v>4</v>
      </c>
      <c r="AO4" s="16" t="s">
        <v>4</v>
      </c>
      <c r="AP4" s="16"/>
      <c r="AQ4" s="16"/>
      <c r="AR4" s="16"/>
      <c r="AS4" s="16"/>
      <c r="AT4" s="16" t="s">
        <v>4</v>
      </c>
      <c r="AU4" s="16" t="s">
        <v>4</v>
      </c>
      <c r="AV4" s="16"/>
      <c r="AW4" s="16"/>
      <c r="AX4" s="16"/>
      <c r="AY4" s="18"/>
      <c r="AZ4" s="16"/>
      <c r="BA4" s="16"/>
      <c r="BB4" s="16"/>
      <c r="BC4" s="16"/>
    </row>
    <row r="5">
      <c r="A5" s="15"/>
      <c r="B5" s="16" t="s">
        <v>9</v>
      </c>
      <c r="C5" s="17" t="s">
        <v>2</v>
      </c>
      <c r="D5" s="16" t="s">
        <v>4</v>
      </c>
      <c r="E5" s="16" t="s">
        <v>4</v>
      </c>
      <c r="F5" s="16"/>
      <c r="G5" s="16" t="s">
        <v>4</v>
      </c>
      <c r="H5" s="16"/>
      <c r="I5" s="16" t="s">
        <v>4</v>
      </c>
      <c r="J5" s="16" t="s">
        <v>4</v>
      </c>
      <c r="K5" s="16"/>
      <c r="L5" s="16" t="s">
        <v>4</v>
      </c>
      <c r="M5" s="16" t="s">
        <v>4</v>
      </c>
      <c r="N5" s="16"/>
      <c r="O5" s="16" t="s">
        <v>4</v>
      </c>
      <c r="P5" s="16"/>
      <c r="Q5" s="16" t="s">
        <v>4</v>
      </c>
      <c r="R5" s="16"/>
      <c r="S5" s="16" t="s">
        <v>4</v>
      </c>
      <c r="T5" s="16"/>
      <c r="U5" s="16" t="s">
        <v>4</v>
      </c>
      <c r="V5" s="16" t="s">
        <v>4</v>
      </c>
      <c r="W5" s="16" t="s">
        <v>4</v>
      </c>
      <c r="X5" s="16" t="s">
        <v>4</v>
      </c>
      <c r="Y5" s="16" t="s">
        <v>4</v>
      </c>
      <c r="Z5" s="16" t="s">
        <v>4</v>
      </c>
      <c r="AA5" s="16" t="s">
        <v>4</v>
      </c>
      <c r="AB5" s="16" t="s">
        <v>4</v>
      </c>
      <c r="AC5" s="16" t="s">
        <v>4</v>
      </c>
      <c r="AD5" s="16" t="s">
        <v>4</v>
      </c>
      <c r="AF5" s="16"/>
      <c r="AH5" s="16" t="s">
        <v>4</v>
      </c>
      <c r="AI5" s="16" t="s">
        <v>4</v>
      </c>
      <c r="AJ5" s="16" t="s">
        <v>4</v>
      </c>
      <c r="AK5" s="16" t="s">
        <v>4</v>
      </c>
      <c r="AL5" s="16" t="s">
        <v>4</v>
      </c>
      <c r="AM5" s="16" t="s">
        <v>4</v>
      </c>
      <c r="AN5" s="16" t="s">
        <v>4</v>
      </c>
      <c r="AO5" s="16" t="s">
        <v>4</v>
      </c>
      <c r="AP5" s="16"/>
      <c r="AQ5" s="16"/>
      <c r="AR5" s="16"/>
      <c r="AS5" s="16" t="s">
        <v>4</v>
      </c>
      <c r="AT5" s="16" t="s">
        <v>4</v>
      </c>
      <c r="AU5" s="16" t="s">
        <v>4</v>
      </c>
      <c r="AV5" s="16"/>
      <c r="AW5" s="16"/>
      <c r="AX5" s="16"/>
      <c r="AY5" s="18"/>
      <c r="AZ5" s="16"/>
      <c r="BA5" s="16"/>
      <c r="BB5" s="16"/>
      <c r="BC5" s="16"/>
    </row>
    <row r="6">
      <c r="A6" s="15"/>
      <c r="B6" s="16" t="s">
        <v>10</v>
      </c>
      <c r="C6" s="17" t="s">
        <v>2</v>
      </c>
      <c r="D6" s="16" t="s">
        <v>4</v>
      </c>
      <c r="E6" s="16" t="s">
        <v>4</v>
      </c>
      <c r="F6" s="16"/>
      <c r="G6" s="16" t="s">
        <v>4</v>
      </c>
      <c r="H6" s="16" t="s">
        <v>4</v>
      </c>
      <c r="I6" s="16" t="s">
        <v>4</v>
      </c>
      <c r="J6" s="16" t="s">
        <v>4</v>
      </c>
      <c r="K6" s="16"/>
      <c r="L6" s="16"/>
      <c r="M6" s="16" t="s">
        <v>4</v>
      </c>
      <c r="N6" s="16"/>
      <c r="O6" s="16" t="s">
        <v>4</v>
      </c>
      <c r="P6" s="16"/>
      <c r="Q6" s="16" t="s">
        <v>4</v>
      </c>
      <c r="R6" s="16" t="s">
        <v>4</v>
      </c>
      <c r="S6" s="16" t="s">
        <v>4</v>
      </c>
      <c r="T6" s="16" t="s">
        <v>4</v>
      </c>
      <c r="U6" s="16"/>
      <c r="V6" s="16"/>
      <c r="W6" s="16" t="s">
        <v>4</v>
      </c>
      <c r="X6" s="16" t="s">
        <v>4</v>
      </c>
      <c r="Y6" s="16" t="s">
        <v>4</v>
      </c>
      <c r="Z6" s="16" t="s">
        <v>4</v>
      </c>
      <c r="AA6" s="16"/>
      <c r="AB6" s="16" t="s">
        <v>4</v>
      </c>
      <c r="AC6" s="16" t="s">
        <v>4</v>
      </c>
      <c r="AD6" s="16" t="s">
        <v>4</v>
      </c>
      <c r="AF6" s="16"/>
      <c r="AH6" s="16" t="s">
        <v>4</v>
      </c>
      <c r="AI6" s="16" t="s">
        <v>4</v>
      </c>
      <c r="AJ6" s="16" t="s">
        <v>4</v>
      </c>
      <c r="AK6" s="16" t="s">
        <v>4</v>
      </c>
      <c r="AL6" s="16" t="s">
        <v>4</v>
      </c>
      <c r="AM6" s="16" t="s">
        <v>4</v>
      </c>
      <c r="AN6" s="16" t="s">
        <v>4</v>
      </c>
      <c r="AO6" s="16" t="s">
        <v>4</v>
      </c>
      <c r="AP6" s="16"/>
      <c r="AQ6" s="16"/>
      <c r="AR6" s="16" t="s">
        <v>4</v>
      </c>
      <c r="AS6" s="16" t="s">
        <v>4</v>
      </c>
      <c r="AT6" s="16" t="s">
        <v>4</v>
      </c>
      <c r="AU6" s="16" t="s">
        <v>4</v>
      </c>
      <c r="AV6" s="16"/>
      <c r="AW6" s="16"/>
      <c r="AX6" s="16"/>
      <c r="AY6" s="18"/>
      <c r="AZ6" s="16"/>
      <c r="BA6" s="16"/>
      <c r="BB6" s="16"/>
      <c r="BC6" s="16"/>
    </row>
    <row r="7">
      <c r="A7" s="15"/>
      <c r="B7" s="16" t="s">
        <v>11</v>
      </c>
      <c r="C7" s="17" t="s">
        <v>2</v>
      </c>
      <c r="D7" s="16" t="s">
        <v>4</v>
      </c>
      <c r="E7" s="16" t="s">
        <v>4</v>
      </c>
      <c r="F7" s="16" t="s">
        <v>4</v>
      </c>
      <c r="G7" s="16" t="s">
        <v>4</v>
      </c>
      <c r="H7" s="16" t="s">
        <v>4</v>
      </c>
      <c r="I7" s="16" t="s">
        <v>4</v>
      </c>
      <c r="J7" s="16" t="s">
        <v>4</v>
      </c>
      <c r="K7" s="16" t="s">
        <v>4</v>
      </c>
      <c r="L7" s="16" t="s">
        <v>4</v>
      </c>
      <c r="M7" s="16" t="s">
        <v>4</v>
      </c>
      <c r="N7" s="16" t="s">
        <v>4</v>
      </c>
      <c r="O7" s="16"/>
      <c r="P7" s="16" t="s">
        <v>4</v>
      </c>
      <c r="Q7" s="16" t="s">
        <v>4</v>
      </c>
      <c r="R7" s="16" t="s">
        <v>4</v>
      </c>
      <c r="S7" s="16" t="s">
        <v>4</v>
      </c>
      <c r="T7" s="16" t="s">
        <v>4</v>
      </c>
      <c r="U7" s="16" t="s">
        <v>4</v>
      </c>
      <c r="V7" s="16" t="s">
        <v>4</v>
      </c>
      <c r="W7" s="16" t="s">
        <v>4</v>
      </c>
      <c r="X7" s="16" t="s">
        <v>4</v>
      </c>
      <c r="Y7" s="16"/>
      <c r="Z7" s="16"/>
      <c r="AA7" s="16" t="s">
        <v>4</v>
      </c>
      <c r="AB7" s="16" t="s">
        <v>4</v>
      </c>
      <c r="AC7" s="16" t="s">
        <v>4</v>
      </c>
      <c r="AD7" s="16"/>
      <c r="AF7" s="16"/>
      <c r="AH7" s="16" t="s">
        <v>4</v>
      </c>
      <c r="AI7" s="16"/>
      <c r="AJ7" s="16"/>
      <c r="AK7" s="16"/>
      <c r="AL7" s="16" t="s">
        <v>4</v>
      </c>
      <c r="AM7" s="16"/>
      <c r="AN7" s="16" t="s">
        <v>4</v>
      </c>
      <c r="AO7" s="16" t="s">
        <v>4</v>
      </c>
      <c r="AP7" s="16"/>
      <c r="AQ7" s="16"/>
      <c r="AR7" s="16" t="s">
        <v>4</v>
      </c>
      <c r="AS7" s="16" t="s">
        <v>4</v>
      </c>
      <c r="AT7" s="16" t="s">
        <v>4</v>
      </c>
      <c r="AU7" s="16" t="s">
        <v>4</v>
      </c>
      <c r="AV7" s="16"/>
      <c r="AW7" s="16"/>
      <c r="AX7" s="16"/>
      <c r="AY7" s="18"/>
      <c r="AZ7" s="16"/>
      <c r="BA7" s="16"/>
      <c r="BB7" s="16"/>
      <c r="BC7" s="16"/>
    </row>
    <row r="8">
      <c r="A8" s="15"/>
      <c r="B8" s="16" t="s">
        <v>12</v>
      </c>
      <c r="C8" s="17" t="s">
        <v>2</v>
      </c>
      <c r="D8" s="16" t="s">
        <v>4</v>
      </c>
      <c r="E8" s="16" t="s">
        <v>4</v>
      </c>
      <c r="F8" s="16" t="s">
        <v>4</v>
      </c>
      <c r="G8" s="16" t="s">
        <v>4</v>
      </c>
      <c r="H8" s="16"/>
      <c r="I8" s="16" t="s">
        <v>4</v>
      </c>
      <c r="J8" s="16"/>
      <c r="K8" s="16" t="s">
        <v>4</v>
      </c>
      <c r="L8" s="16" t="s">
        <v>4</v>
      </c>
      <c r="M8" s="16"/>
      <c r="N8" s="16" t="s">
        <v>4</v>
      </c>
      <c r="O8" s="16" t="s">
        <v>4</v>
      </c>
      <c r="P8" s="16" t="s">
        <v>4</v>
      </c>
      <c r="Q8" s="16" t="s">
        <v>4</v>
      </c>
      <c r="R8" s="16"/>
      <c r="S8" s="16" t="s">
        <v>4</v>
      </c>
      <c r="T8" s="16" t="s">
        <v>4</v>
      </c>
      <c r="U8" s="16" t="s">
        <v>4</v>
      </c>
      <c r="V8" s="16" t="s">
        <v>4</v>
      </c>
      <c r="W8" s="16" t="s">
        <v>4</v>
      </c>
      <c r="X8" s="16" t="s">
        <v>4</v>
      </c>
      <c r="Y8" s="16"/>
      <c r="Z8" s="16" t="s">
        <v>4</v>
      </c>
      <c r="AA8" s="16"/>
      <c r="AB8" s="16" t="s">
        <v>4</v>
      </c>
      <c r="AC8" s="16" t="s">
        <v>4</v>
      </c>
      <c r="AD8" s="16" t="s">
        <v>4</v>
      </c>
      <c r="AF8" s="16" t="s">
        <v>4</v>
      </c>
      <c r="AH8" s="16" t="s">
        <v>4</v>
      </c>
      <c r="AI8" s="16"/>
      <c r="AJ8" s="16"/>
      <c r="AK8" s="16"/>
      <c r="AL8" s="16" t="s">
        <v>4</v>
      </c>
      <c r="AM8" s="16" t="s">
        <v>4</v>
      </c>
      <c r="AN8" s="16" t="s">
        <v>4</v>
      </c>
      <c r="AO8" s="16" t="s">
        <v>4</v>
      </c>
      <c r="AP8" s="16"/>
      <c r="AQ8" s="16"/>
      <c r="AR8" s="16" t="s">
        <v>4</v>
      </c>
      <c r="AS8" s="16"/>
      <c r="AT8" s="16" t="s">
        <v>4</v>
      </c>
      <c r="AU8" s="16" t="s">
        <v>4</v>
      </c>
      <c r="AV8" s="16"/>
      <c r="AW8" s="16"/>
      <c r="AX8" s="16"/>
      <c r="AY8" s="18"/>
      <c r="AZ8" s="16"/>
      <c r="BA8" s="16"/>
      <c r="BB8" s="16"/>
      <c r="BC8" s="16"/>
    </row>
    <row r="9">
      <c r="A9" s="15"/>
      <c r="B9" s="19" t="s">
        <v>13</v>
      </c>
      <c r="C9" s="17" t="s">
        <v>2</v>
      </c>
      <c r="D9" s="16" t="s">
        <v>4</v>
      </c>
      <c r="E9" s="16" t="s">
        <v>4</v>
      </c>
      <c r="F9" s="16" t="s">
        <v>4</v>
      </c>
      <c r="G9" s="16"/>
      <c r="H9" s="16" t="s">
        <v>4</v>
      </c>
      <c r="I9" s="16" t="s">
        <v>4</v>
      </c>
      <c r="J9" s="16" t="s">
        <v>4</v>
      </c>
      <c r="K9" s="16" t="s">
        <v>4</v>
      </c>
      <c r="L9" s="16" t="s">
        <v>4</v>
      </c>
      <c r="M9" s="16" t="s">
        <v>4</v>
      </c>
      <c r="N9" s="16" t="s">
        <v>4</v>
      </c>
      <c r="O9" s="16"/>
      <c r="P9" s="16" t="s">
        <v>4</v>
      </c>
      <c r="Q9" s="16" t="s">
        <v>4</v>
      </c>
      <c r="R9" s="16"/>
      <c r="S9" s="16" t="s">
        <v>4</v>
      </c>
      <c r="T9" s="16" t="s">
        <v>4</v>
      </c>
      <c r="U9" s="16" t="s">
        <v>4</v>
      </c>
      <c r="V9" s="16" t="s">
        <v>4</v>
      </c>
      <c r="W9" s="16" t="s">
        <v>4</v>
      </c>
      <c r="X9" s="16" t="s">
        <v>4</v>
      </c>
      <c r="Y9" s="16" t="s">
        <v>4</v>
      </c>
      <c r="Z9" s="16" t="s">
        <v>4</v>
      </c>
      <c r="AA9" s="16" t="s">
        <v>4</v>
      </c>
      <c r="AB9" s="16" t="s">
        <v>4</v>
      </c>
      <c r="AC9" s="16" t="s">
        <v>4</v>
      </c>
      <c r="AD9" s="16" t="s">
        <v>4</v>
      </c>
      <c r="AF9" s="16" t="s">
        <v>4</v>
      </c>
      <c r="AH9" s="16" t="s">
        <v>4</v>
      </c>
      <c r="AI9" s="16" t="s">
        <v>4</v>
      </c>
      <c r="AJ9" s="16" t="s">
        <v>4</v>
      </c>
      <c r="AK9" s="16" t="s">
        <v>4</v>
      </c>
      <c r="AL9" s="16" t="s">
        <v>4</v>
      </c>
      <c r="AM9" s="16" t="s">
        <v>4</v>
      </c>
      <c r="AN9" s="16" t="s">
        <v>4</v>
      </c>
      <c r="AO9" s="16" t="s">
        <v>4</v>
      </c>
      <c r="AP9" s="16"/>
      <c r="AQ9" s="16"/>
      <c r="AR9" s="16" t="s">
        <v>4</v>
      </c>
      <c r="AS9" s="16" t="s">
        <v>4</v>
      </c>
      <c r="AT9" s="16" t="s">
        <v>4</v>
      </c>
      <c r="AU9" s="16" t="s">
        <v>4</v>
      </c>
      <c r="AV9" s="16"/>
      <c r="AW9" s="16"/>
      <c r="AX9" s="16"/>
      <c r="AY9" s="18"/>
      <c r="AZ9" s="16"/>
      <c r="BA9" s="16"/>
      <c r="BB9" s="16"/>
      <c r="BC9" s="16"/>
    </row>
    <row r="10">
      <c r="A10" s="15"/>
      <c r="B10" s="19" t="s">
        <v>14</v>
      </c>
      <c r="C10" s="17" t="s">
        <v>2</v>
      </c>
      <c r="D10" s="16"/>
      <c r="E10" s="16" t="s">
        <v>4</v>
      </c>
      <c r="F10" s="16" t="s">
        <v>4</v>
      </c>
      <c r="G10" s="16"/>
      <c r="H10" s="16" t="s">
        <v>4</v>
      </c>
      <c r="I10" s="16" t="s">
        <v>4</v>
      </c>
      <c r="J10" s="16" t="s">
        <v>4</v>
      </c>
      <c r="K10" s="16"/>
      <c r="L10" s="16" t="s">
        <v>4</v>
      </c>
      <c r="M10" s="16" t="s">
        <v>4</v>
      </c>
      <c r="N10" s="16" t="s">
        <v>4</v>
      </c>
      <c r="O10" s="16"/>
      <c r="P10" s="16"/>
      <c r="Q10" s="16" t="s">
        <v>4</v>
      </c>
      <c r="R10" s="16"/>
      <c r="S10" s="16" t="s">
        <v>4</v>
      </c>
      <c r="T10" s="16" t="s">
        <v>4</v>
      </c>
      <c r="U10" s="16"/>
      <c r="V10" s="16"/>
      <c r="W10" s="16" t="s">
        <v>4</v>
      </c>
      <c r="X10" s="16"/>
      <c r="Y10" s="16" t="s">
        <v>4</v>
      </c>
      <c r="Z10" s="16" t="s">
        <v>4</v>
      </c>
      <c r="AA10" s="16" t="s">
        <v>4</v>
      </c>
      <c r="AB10" s="16"/>
      <c r="AC10" s="16" t="s">
        <v>4</v>
      </c>
      <c r="AD10" s="16"/>
      <c r="AF10" s="16"/>
      <c r="AH10" s="16" t="s">
        <v>4</v>
      </c>
      <c r="AI10" s="16" t="s">
        <v>4</v>
      </c>
      <c r="AJ10" s="16" t="s">
        <v>4</v>
      </c>
      <c r="AK10" s="16" t="s">
        <v>4</v>
      </c>
      <c r="AL10" s="16"/>
      <c r="AM10" s="16" t="s">
        <v>4</v>
      </c>
      <c r="AN10" s="16" t="s">
        <v>4</v>
      </c>
      <c r="AO10" s="16" t="s">
        <v>4</v>
      </c>
      <c r="AP10" s="16"/>
      <c r="AQ10" s="16"/>
      <c r="AR10" s="16" t="s">
        <v>4</v>
      </c>
      <c r="AS10" s="16" t="s">
        <v>4</v>
      </c>
      <c r="AT10" s="16" t="s">
        <v>4</v>
      </c>
      <c r="AU10" s="16" t="s">
        <v>4</v>
      </c>
      <c r="AV10" s="16"/>
      <c r="AW10" s="16"/>
      <c r="AX10" s="16"/>
      <c r="AY10" s="18"/>
      <c r="AZ10" s="16"/>
      <c r="BA10" s="16"/>
      <c r="BB10" s="16"/>
      <c r="BC10" s="16"/>
    </row>
    <row r="11">
      <c r="A11" s="15"/>
      <c r="B11" s="19" t="s">
        <v>15</v>
      </c>
      <c r="C11" s="17" t="s">
        <v>2</v>
      </c>
      <c r="D11" s="16" t="s">
        <v>4</v>
      </c>
      <c r="E11" s="16"/>
      <c r="F11" s="16" t="s">
        <v>4</v>
      </c>
      <c r="G11" s="16"/>
      <c r="H11" s="16" t="s">
        <v>4</v>
      </c>
      <c r="I11" s="16"/>
      <c r="J11" s="16"/>
      <c r="K11" s="16"/>
      <c r="L11" s="16"/>
      <c r="M11" s="16"/>
      <c r="N11" s="16" t="s">
        <v>4</v>
      </c>
      <c r="O11" s="16"/>
      <c r="P11" s="16"/>
      <c r="Q11" s="16" t="s">
        <v>4</v>
      </c>
      <c r="R11" s="16"/>
      <c r="S11" s="16"/>
      <c r="T11" s="16" t="s">
        <v>4</v>
      </c>
      <c r="U11" s="16"/>
      <c r="V11" s="16"/>
      <c r="W11" s="16" t="s">
        <v>4</v>
      </c>
      <c r="X11" s="16"/>
      <c r="Y11" s="16"/>
      <c r="Z11" s="20"/>
      <c r="AA11" s="16" t="s">
        <v>4</v>
      </c>
      <c r="AB11" s="16"/>
      <c r="AC11" s="16"/>
      <c r="AD11" s="16"/>
      <c r="AF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8"/>
      <c r="AZ11" s="16"/>
      <c r="BA11" s="16"/>
      <c r="BB11" s="16"/>
      <c r="BC11" s="16"/>
    </row>
    <row r="12">
      <c r="A12" s="15"/>
      <c r="B12" s="19" t="s">
        <v>16</v>
      </c>
      <c r="C12" s="17" t="s">
        <v>2</v>
      </c>
      <c r="D12" s="16"/>
      <c r="E12" s="16" t="s">
        <v>4</v>
      </c>
      <c r="F12" s="16"/>
      <c r="G12" s="16" t="s">
        <v>4</v>
      </c>
      <c r="H12" s="16"/>
      <c r="I12" s="16"/>
      <c r="J12" s="16"/>
      <c r="K12" s="16"/>
      <c r="L12" s="16" t="s">
        <v>4</v>
      </c>
      <c r="M12" s="16"/>
      <c r="N12" s="16"/>
      <c r="O12" s="16" t="s">
        <v>4</v>
      </c>
      <c r="P12" s="16"/>
      <c r="Q12" s="16"/>
      <c r="R12" s="16" t="s">
        <v>4</v>
      </c>
      <c r="S12" s="16"/>
      <c r="T12" s="16"/>
      <c r="U12" s="16" t="s">
        <v>4</v>
      </c>
      <c r="V12" s="16"/>
      <c r="W12" s="16"/>
      <c r="X12" s="16" t="s">
        <v>4</v>
      </c>
      <c r="Y12" s="16"/>
      <c r="Z12" s="16"/>
      <c r="AA12" s="16"/>
      <c r="AB12" s="16"/>
      <c r="AC12" s="16"/>
      <c r="AD12" s="16" t="s">
        <v>4</v>
      </c>
      <c r="AF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8"/>
      <c r="AZ12" s="16"/>
      <c r="BA12" s="16"/>
      <c r="BB12" s="16"/>
      <c r="BC12" s="16"/>
    </row>
    <row r="13">
      <c r="A13" s="15"/>
      <c r="B13" s="19" t="s">
        <v>17</v>
      </c>
      <c r="C13" s="17" t="s">
        <v>2</v>
      </c>
      <c r="D13" s="16" t="s">
        <v>4</v>
      </c>
      <c r="E13" s="16" t="s">
        <v>4</v>
      </c>
      <c r="F13" s="16"/>
      <c r="G13" s="16"/>
      <c r="H13" s="16" t="s">
        <v>4</v>
      </c>
      <c r="I13" s="16"/>
      <c r="J13" s="16"/>
      <c r="K13" s="16"/>
      <c r="L13" s="16" t="s">
        <v>4</v>
      </c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 t="s">
        <v>4</v>
      </c>
      <c r="Y13" s="16" t="s">
        <v>4</v>
      </c>
      <c r="Z13" s="16"/>
      <c r="AA13" s="20"/>
      <c r="AB13" s="16"/>
      <c r="AC13" s="16" t="s">
        <v>4</v>
      </c>
      <c r="AD13" s="16"/>
      <c r="AF13" s="16"/>
      <c r="AH13" s="16"/>
      <c r="AI13" s="16"/>
      <c r="AJ13" s="16"/>
      <c r="AK13" s="16" t="s">
        <v>4</v>
      </c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8"/>
      <c r="AZ13" s="16"/>
      <c r="BA13" s="16"/>
      <c r="BB13" s="16"/>
      <c r="BC13" s="16"/>
    </row>
    <row r="14">
      <c r="A14" s="15"/>
      <c r="B14" s="19" t="s">
        <v>18</v>
      </c>
      <c r="C14" s="17" t="s">
        <v>2</v>
      </c>
      <c r="D14" s="16" t="s">
        <v>4</v>
      </c>
      <c r="E14" s="16" t="s">
        <v>4</v>
      </c>
      <c r="F14" s="16" t="s">
        <v>4</v>
      </c>
      <c r="G14" s="16" t="s">
        <v>4</v>
      </c>
      <c r="H14" s="16" t="s">
        <v>4</v>
      </c>
      <c r="I14" s="16"/>
      <c r="J14" s="16"/>
      <c r="K14" s="16" t="s">
        <v>4</v>
      </c>
      <c r="L14" s="16" t="s">
        <v>4</v>
      </c>
      <c r="M14" s="16"/>
      <c r="N14" s="16"/>
      <c r="O14" s="16"/>
      <c r="P14" s="16" t="s">
        <v>4</v>
      </c>
      <c r="Q14" s="16"/>
      <c r="R14" s="16"/>
      <c r="S14" s="16"/>
      <c r="T14" s="16"/>
      <c r="U14" s="16"/>
      <c r="V14" s="16"/>
      <c r="W14" s="16"/>
      <c r="X14" s="16" t="s">
        <v>4</v>
      </c>
      <c r="Y14" s="16" t="s">
        <v>4</v>
      </c>
      <c r="Z14" s="16"/>
      <c r="AA14" s="20"/>
      <c r="AB14" s="16"/>
      <c r="AC14" s="16" t="s">
        <v>4</v>
      </c>
      <c r="AD14" s="16"/>
      <c r="AF14" s="16"/>
      <c r="AH14" s="16" t="s">
        <v>4</v>
      </c>
      <c r="AI14" s="16"/>
      <c r="AJ14" s="16"/>
      <c r="AK14" s="16"/>
      <c r="AL14" s="16"/>
      <c r="AM14" s="16" t="s">
        <v>4</v>
      </c>
      <c r="AN14" s="16"/>
      <c r="AO14" s="16"/>
      <c r="AP14" s="16"/>
      <c r="AQ14" s="16"/>
      <c r="AR14" s="16" t="s">
        <v>4</v>
      </c>
      <c r="AS14" s="16"/>
      <c r="AT14" s="16" t="s">
        <v>4</v>
      </c>
      <c r="AU14" s="16"/>
      <c r="AV14" s="16"/>
      <c r="AW14" s="16"/>
      <c r="AX14" s="16"/>
      <c r="AY14" s="18"/>
      <c r="AZ14" s="16"/>
      <c r="BA14" s="16"/>
      <c r="BB14" s="16"/>
      <c r="BC14" s="16"/>
    </row>
    <row r="15">
      <c r="A15" s="15"/>
      <c r="B15" s="19" t="s">
        <v>19</v>
      </c>
      <c r="C15" s="17" t="s">
        <v>2</v>
      </c>
      <c r="D15" s="16" t="s">
        <v>4</v>
      </c>
      <c r="E15" s="16" t="s">
        <v>4</v>
      </c>
      <c r="F15" s="16" t="s">
        <v>4</v>
      </c>
      <c r="G15" s="16" t="s">
        <v>4</v>
      </c>
      <c r="H15" s="16" t="s">
        <v>4</v>
      </c>
      <c r="I15" s="16"/>
      <c r="J15" s="16" t="s">
        <v>4</v>
      </c>
      <c r="K15" s="16" t="s">
        <v>4</v>
      </c>
      <c r="L15" s="16" t="s">
        <v>4</v>
      </c>
      <c r="M15" s="16" t="s">
        <v>4</v>
      </c>
      <c r="N15" s="16" t="s">
        <v>4</v>
      </c>
      <c r="O15" s="16" t="s">
        <v>4</v>
      </c>
      <c r="P15" s="16"/>
      <c r="Q15" s="16" t="s">
        <v>4</v>
      </c>
      <c r="R15" s="16"/>
      <c r="S15" s="16" t="s">
        <v>4</v>
      </c>
      <c r="T15" s="16" t="s">
        <v>4</v>
      </c>
      <c r="U15" s="16" t="s">
        <v>4</v>
      </c>
      <c r="V15" s="16" t="s">
        <v>4</v>
      </c>
      <c r="W15" s="16" t="s">
        <v>4</v>
      </c>
      <c r="X15" s="16" t="s">
        <v>4</v>
      </c>
      <c r="Y15" s="16" t="s">
        <v>4</v>
      </c>
      <c r="Z15" s="16" t="s">
        <v>4</v>
      </c>
      <c r="AA15" s="16" t="s">
        <v>4</v>
      </c>
      <c r="AB15" s="16" t="s">
        <v>4</v>
      </c>
      <c r="AC15" s="16"/>
      <c r="AD15" s="16"/>
      <c r="AF15" s="16" t="s">
        <v>4</v>
      </c>
      <c r="AH15" s="16" t="s">
        <v>4</v>
      </c>
      <c r="AI15" s="16"/>
      <c r="AJ15" s="16"/>
      <c r="AK15" s="16" t="s">
        <v>4</v>
      </c>
      <c r="AL15" s="16" t="s">
        <v>4</v>
      </c>
      <c r="AM15" s="16" t="s">
        <v>4</v>
      </c>
      <c r="AN15" s="16" t="s">
        <v>4</v>
      </c>
      <c r="AO15" s="16" t="s">
        <v>4</v>
      </c>
      <c r="AP15" s="16"/>
      <c r="AQ15" s="16"/>
      <c r="AR15" s="16" t="s">
        <v>4</v>
      </c>
      <c r="AS15" s="16" t="s">
        <v>4</v>
      </c>
      <c r="AT15" s="16" t="s">
        <v>4</v>
      </c>
      <c r="AU15" s="16" t="s">
        <v>4</v>
      </c>
      <c r="AV15" s="16"/>
      <c r="AW15" s="16"/>
      <c r="AX15" s="16"/>
      <c r="AY15" s="18"/>
      <c r="AZ15" s="16"/>
      <c r="BA15" s="16"/>
      <c r="BB15" s="16"/>
      <c r="BC15" s="16"/>
    </row>
    <row r="16">
      <c r="A16" s="15"/>
      <c r="B16" s="19" t="s">
        <v>20</v>
      </c>
      <c r="C16" s="17" t="s">
        <v>2</v>
      </c>
      <c r="D16" s="16" t="s">
        <v>4</v>
      </c>
      <c r="E16" s="16" t="s">
        <v>4</v>
      </c>
      <c r="F16" s="16" t="s">
        <v>4</v>
      </c>
      <c r="G16" s="16" t="s">
        <v>4</v>
      </c>
      <c r="H16" s="16" t="s">
        <v>4</v>
      </c>
      <c r="I16" s="16"/>
      <c r="J16" s="16" t="s">
        <v>4</v>
      </c>
      <c r="K16" s="16" t="s">
        <v>4</v>
      </c>
      <c r="L16" s="16" t="s">
        <v>4</v>
      </c>
      <c r="M16" s="16" t="s">
        <v>4</v>
      </c>
      <c r="N16" s="16" t="s">
        <v>4</v>
      </c>
      <c r="O16" s="16" t="s">
        <v>4</v>
      </c>
      <c r="P16" s="16"/>
      <c r="Q16" s="16" t="s">
        <v>4</v>
      </c>
      <c r="R16" s="16"/>
      <c r="S16" s="16" t="s">
        <v>4</v>
      </c>
      <c r="T16" s="16" t="s">
        <v>4</v>
      </c>
      <c r="U16" s="16" t="s">
        <v>4</v>
      </c>
      <c r="V16" s="16" t="s">
        <v>4</v>
      </c>
      <c r="W16" s="16" t="s">
        <v>4</v>
      </c>
      <c r="X16" s="16" t="s">
        <v>4</v>
      </c>
      <c r="Y16" s="16" t="s">
        <v>4</v>
      </c>
      <c r="Z16" s="16" t="s">
        <v>4</v>
      </c>
      <c r="AA16" s="16" t="s">
        <v>4</v>
      </c>
      <c r="AB16" s="16" t="s">
        <v>4</v>
      </c>
      <c r="AC16" s="16" t="s">
        <v>4</v>
      </c>
      <c r="AD16" s="16"/>
      <c r="AF16" s="16" t="s">
        <v>4</v>
      </c>
      <c r="AH16" s="16" t="s">
        <v>4</v>
      </c>
      <c r="AI16" s="16" t="s">
        <v>4</v>
      </c>
      <c r="AJ16" s="16" t="s">
        <v>4</v>
      </c>
      <c r="AK16" s="16" t="s">
        <v>4</v>
      </c>
      <c r="AL16" s="16" t="s">
        <v>4</v>
      </c>
      <c r="AM16" s="16" t="s">
        <v>4</v>
      </c>
      <c r="AN16" s="16" t="s">
        <v>4</v>
      </c>
      <c r="AO16" s="16" t="s">
        <v>4</v>
      </c>
      <c r="AP16" s="16"/>
      <c r="AQ16" s="16"/>
      <c r="AR16" s="16" t="s">
        <v>4</v>
      </c>
      <c r="AS16" s="16" t="s">
        <v>4</v>
      </c>
      <c r="AT16" s="16" t="s">
        <v>4</v>
      </c>
      <c r="AU16" s="16" t="s">
        <v>4</v>
      </c>
      <c r="AV16" s="16"/>
      <c r="AW16" s="16"/>
      <c r="AX16" s="16"/>
      <c r="AY16" s="18"/>
      <c r="AZ16" s="16"/>
      <c r="BA16" s="16"/>
      <c r="BB16" s="16"/>
      <c r="BC16" s="16"/>
    </row>
    <row r="17">
      <c r="A17" s="15"/>
      <c r="B17" s="19" t="s">
        <v>21</v>
      </c>
      <c r="C17" s="17" t="s">
        <v>2</v>
      </c>
      <c r="D17" s="16"/>
      <c r="E17" s="16"/>
      <c r="F17" s="16" t="s">
        <v>4</v>
      </c>
      <c r="G17" s="16" t="s">
        <v>4</v>
      </c>
      <c r="H17" s="16" t="s">
        <v>4</v>
      </c>
      <c r="I17" s="16"/>
      <c r="J17" s="16" t="s">
        <v>4</v>
      </c>
      <c r="K17" s="16"/>
      <c r="L17" s="16"/>
      <c r="M17" s="16" t="s">
        <v>4</v>
      </c>
      <c r="N17" s="16" t="s">
        <v>4</v>
      </c>
      <c r="O17" s="16"/>
      <c r="P17" s="16"/>
      <c r="Q17" s="16" t="s">
        <v>4</v>
      </c>
      <c r="R17" s="16" t="s">
        <v>4</v>
      </c>
      <c r="S17" s="16" t="s">
        <v>4</v>
      </c>
      <c r="T17" s="16" t="s">
        <v>4</v>
      </c>
      <c r="U17" s="16" t="s">
        <v>4</v>
      </c>
      <c r="V17" s="16"/>
      <c r="W17" s="16"/>
      <c r="X17" s="16"/>
      <c r="Y17" s="16" t="s">
        <v>4</v>
      </c>
      <c r="Z17" s="16" t="s">
        <v>4</v>
      </c>
      <c r="AA17" s="16" t="s">
        <v>4</v>
      </c>
      <c r="AB17" s="16"/>
      <c r="AC17" s="16" t="s">
        <v>4</v>
      </c>
      <c r="AD17" s="16"/>
      <c r="AF17" s="16" t="s">
        <v>4</v>
      </c>
      <c r="AH17" s="16" t="s">
        <v>4</v>
      </c>
      <c r="AI17" s="16"/>
      <c r="AJ17" s="16"/>
      <c r="AK17" s="16"/>
      <c r="AL17" s="16" t="s">
        <v>4</v>
      </c>
      <c r="AM17" s="16" t="s">
        <v>4</v>
      </c>
      <c r="AN17" s="16"/>
      <c r="AO17" s="16"/>
      <c r="AP17" s="16"/>
      <c r="AQ17" s="16"/>
      <c r="AR17" s="16"/>
      <c r="AS17" s="16" t="s">
        <v>4</v>
      </c>
      <c r="AT17" s="16"/>
      <c r="AU17" s="16" t="s">
        <v>4</v>
      </c>
      <c r="AV17" s="16"/>
      <c r="AW17" s="16"/>
      <c r="AX17" s="16"/>
      <c r="AY17" s="18"/>
      <c r="AZ17" s="16"/>
      <c r="BA17" s="16"/>
      <c r="BB17" s="16"/>
      <c r="BC17" s="16"/>
    </row>
    <row r="18">
      <c r="A18" s="15"/>
      <c r="B18" s="19" t="s">
        <v>22</v>
      </c>
      <c r="C18" s="17" t="s">
        <v>2</v>
      </c>
      <c r="D18" s="16"/>
      <c r="E18" s="16" t="s">
        <v>4</v>
      </c>
      <c r="F18" s="16"/>
      <c r="G18" s="16"/>
      <c r="H18" s="16"/>
      <c r="I18" s="16" t="s">
        <v>4</v>
      </c>
      <c r="J18" s="16"/>
      <c r="K18" s="16" t="s">
        <v>4</v>
      </c>
      <c r="L18" s="16"/>
      <c r="M18" s="16"/>
      <c r="N18" s="16"/>
      <c r="O18" s="16"/>
      <c r="P18" s="16"/>
      <c r="Q18" s="16"/>
      <c r="R18" s="16" t="s">
        <v>4</v>
      </c>
      <c r="S18" s="16" t="s">
        <v>4</v>
      </c>
      <c r="T18" s="16"/>
      <c r="U18" s="16" t="s">
        <v>4</v>
      </c>
      <c r="V18" s="16"/>
      <c r="W18" s="16"/>
      <c r="X18" s="16" t="s">
        <v>4</v>
      </c>
      <c r="Y18" s="16"/>
      <c r="Z18" s="16" t="s">
        <v>4</v>
      </c>
      <c r="AA18" s="16"/>
      <c r="AB18" s="16"/>
      <c r="AC18" s="16" t="s">
        <v>4</v>
      </c>
      <c r="AD18" s="16"/>
      <c r="AF18" s="16"/>
      <c r="AH18" s="16"/>
      <c r="AI18" s="16" t="s">
        <v>4</v>
      </c>
      <c r="AJ18" s="16" t="s">
        <v>4</v>
      </c>
      <c r="AK18" s="16"/>
      <c r="AL18" s="16" t="s">
        <v>4</v>
      </c>
      <c r="AM18" s="16" t="s">
        <v>4</v>
      </c>
      <c r="AN18" s="16"/>
      <c r="AO18" s="16"/>
      <c r="AP18" s="16"/>
      <c r="AQ18" s="16"/>
      <c r="AR18" s="16" t="s">
        <v>4</v>
      </c>
      <c r="AS18" s="16" t="s">
        <v>4</v>
      </c>
      <c r="AT18" s="16" t="s">
        <v>4</v>
      </c>
      <c r="AU18" s="16" t="s">
        <v>4</v>
      </c>
      <c r="AV18" s="16"/>
      <c r="AW18" s="16"/>
      <c r="AX18" s="16"/>
      <c r="AY18" s="18"/>
      <c r="AZ18" s="16"/>
      <c r="BA18" s="16"/>
      <c r="BB18" s="16"/>
      <c r="BC18" s="16"/>
    </row>
    <row r="19">
      <c r="A19" s="15"/>
      <c r="B19" s="19" t="s">
        <v>23</v>
      </c>
      <c r="C19" s="17" t="s">
        <v>2</v>
      </c>
      <c r="D19" s="16" t="s">
        <v>4</v>
      </c>
      <c r="E19" s="16" t="s">
        <v>4</v>
      </c>
      <c r="F19" s="16" t="s">
        <v>4</v>
      </c>
      <c r="G19" s="16" t="s">
        <v>4</v>
      </c>
      <c r="H19" s="16" t="s">
        <v>4</v>
      </c>
      <c r="I19" s="16" t="s">
        <v>4</v>
      </c>
      <c r="J19" s="16"/>
      <c r="K19" s="16" t="s">
        <v>4</v>
      </c>
      <c r="L19" s="16" t="s">
        <v>4</v>
      </c>
      <c r="M19" s="16" t="s">
        <v>4</v>
      </c>
      <c r="N19" s="16"/>
      <c r="O19" s="16" t="s">
        <v>4</v>
      </c>
      <c r="P19" s="16" t="s">
        <v>4</v>
      </c>
      <c r="Q19" s="16" t="s">
        <v>4</v>
      </c>
      <c r="R19" s="16" t="s">
        <v>4</v>
      </c>
      <c r="S19" s="16" t="s">
        <v>4</v>
      </c>
      <c r="T19" s="16" t="s">
        <v>4</v>
      </c>
      <c r="U19" s="16" t="s">
        <v>4</v>
      </c>
      <c r="V19" s="16" t="s">
        <v>4</v>
      </c>
      <c r="W19" s="16" t="s">
        <v>4</v>
      </c>
      <c r="X19" s="16" t="s">
        <v>4</v>
      </c>
      <c r="Y19" s="16" t="s">
        <v>4</v>
      </c>
      <c r="Z19" s="16" t="s">
        <v>4</v>
      </c>
      <c r="AA19" s="16" t="s">
        <v>4</v>
      </c>
      <c r="AB19" s="16" t="s">
        <v>4</v>
      </c>
      <c r="AC19" s="16" t="s">
        <v>4</v>
      </c>
      <c r="AD19" s="16"/>
      <c r="AF19" s="16"/>
      <c r="AH19" s="16" t="s">
        <v>4</v>
      </c>
      <c r="AI19" s="16" t="s">
        <v>4</v>
      </c>
      <c r="AJ19" s="16" t="s">
        <v>4</v>
      </c>
      <c r="AK19" s="16" t="s">
        <v>4</v>
      </c>
      <c r="AL19" s="16" t="s">
        <v>4</v>
      </c>
      <c r="AM19" s="16"/>
      <c r="AN19" s="16"/>
      <c r="AO19" s="16" t="s">
        <v>4</v>
      </c>
      <c r="AP19" s="16"/>
      <c r="AQ19" s="16"/>
      <c r="AR19" s="16" t="s">
        <v>4</v>
      </c>
      <c r="AS19" s="16" t="s">
        <v>4</v>
      </c>
      <c r="AT19" s="16" t="s">
        <v>4</v>
      </c>
      <c r="AU19" s="16" t="s">
        <v>4</v>
      </c>
      <c r="AV19" s="16"/>
      <c r="AW19" s="16"/>
      <c r="AX19" s="16"/>
      <c r="AY19" s="18"/>
      <c r="AZ19" s="16"/>
      <c r="BA19" s="16"/>
      <c r="BB19" s="16"/>
      <c r="BC19" s="16"/>
    </row>
    <row r="20">
      <c r="A20" s="15"/>
      <c r="B20" s="19" t="s">
        <v>24</v>
      </c>
      <c r="C20" s="17" t="s">
        <v>2</v>
      </c>
      <c r="D20" s="16"/>
      <c r="E20" s="16" t="s">
        <v>4</v>
      </c>
      <c r="F20" s="16" t="s">
        <v>4</v>
      </c>
      <c r="G20" s="16"/>
      <c r="H20" s="16" t="s">
        <v>4</v>
      </c>
      <c r="I20" s="16" t="s">
        <v>4</v>
      </c>
      <c r="J20" s="16" t="s">
        <v>4</v>
      </c>
      <c r="K20" s="16" t="s">
        <v>4</v>
      </c>
      <c r="L20" s="16" t="s">
        <v>4</v>
      </c>
      <c r="M20" s="16" t="s">
        <v>4</v>
      </c>
      <c r="N20" s="16" t="s">
        <v>4</v>
      </c>
      <c r="O20" s="16" t="s">
        <v>4</v>
      </c>
      <c r="P20" s="16" t="s">
        <v>4</v>
      </c>
      <c r="Q20" s="16"/>
      <c r="R20" s="16" t="s">
        <v>4</v>
      </c>
      <c r="S20" s="16"/>
      <c r="T20" s="16" t="s">
        <v>4</v>
      </c>
      <c r="U20" s="16" t="s">
        <v>4</v>
      </c>
      <c r="V20" s="16" t="s">
        <v>4</v>
      </c>
      <c r="W20" s="16" t="s">
        <v>4</v>
      </c>
      <c r="X20" s="16" t="s">
        <v>4</v>
      </c>
      <c r="Y20" s="16" t="s">
        <v>4</v>
      </c>
      <c r="Z20" s="16"/>
      <c r="AA20" s="16" t="s">
        <v>4</v>
      </c>
      <c r="AB20" s="16"/>
      <c r="AC20" s="16"/>
      <c r="AD20" s="16"/>
      <c r="AF20" s="16" t="s">
        <v>4</v>
      </c>
      <c r="AH20" s="16" t="s">
        <v>4</v>
      </c>
      <c r="AI20" s="16" t="s">
        <v>4</v>
      </c>
      <c r="AJ20" s="16" t="s">
        <v>4</v>
      </c>
      <c r="AK20" s="16" t="s">
        <v>4</v>
      </c>
      <c r="AL20" s="16" t="s">
        <v>4</v>
      </c>
      <c r="AM20" s="16" t="s">
        <v>4</v>
      </c>
      <c r="AN20" s="16" t="s">
        <v>4</v>
      </c>
      <c r="AO20" s="16" t="s">
        <v>4</v>
      </c>
      <c r="AP20" s="16"/>
      <c r="AQ20" s="16"/>
      <c r="AR20" s="16" t="s">
        <v>4</v>
      </c>
      <c r="AS20" s="16" t="s">
        <v>4</v>
      </c>
      <c r="AT20" s="16" t="s">
        <v>4</v>
      </c>
      <c r="AU20" s="16" t="s">
        <v>4</v>
      </c>
      <c r="AV20" s="16"/>
      <c r="AW20" s="16"/>
      <c r="AX20" s="16"/>
      <c r="AY20" s="18"/>
      <c r="AZ20" s="16"/>
      <c r="BA20" s="16"/>
      <c r="BB20" s="16"/>
      <c r="BC20" s="16"/>
    </row>
    <row r="21">
      <c r="A21" s="15"/>
      <c r="B21" s="19" t="s">
        <v>25</v>
      </c>
      <c r="C21" s="17" t="s">
        <v>2</v>
      </c>
      <c r="D21" s="16"/>
      <c r="E21" s="16"/>
      <c r="F21" s="16" t="s">
        <v>4</v>
      </c>
      <c r="G21" s="16"/>
      <c r="H21" s="16"/>
      <c r="I21" s="16"/>
      <c r="J21" s="16" t="s">
        <v>4</v>
      </c>
      <c r="K21" s="16" t="s">
        <v>4</v>
      </c>
      <c r="L21" s="16"/>
      <c r="M21" s="16"/>
      <c r="N21" s="16" t="s">
        <v>4</v>
      </c>
      <c r="O21" s="16"/>
      <c r="P21" s="16"/>
      <c r="Q21" s="16"/>
      <c r="R21" s="16"/>
      <c r="S21" s="16"/>
      <c r="T21" s="16" t="s">
        <v>4</v>
      </c>
      <c r="U21" s="16"/>
      <c r="V21" s="16"/>
      <c r="W21" s="16" t="s">
        <v>4</v>
      </c>
      <c r="X21" s="16" t="s">
        <v>4</v>
      </c>
      <c r="Y21" s="16" t="s">
        <v>4</v>
      </c>
      <c r="Z21" s="20"/>
      <c r="AA21" s="16" t="s">
        <v>4</v>
      </c>
      <c r="AB21" s="16"/>
      <c r="AC21" s="16"/>
      <c r="AD21" s="16"/>
      <c r="AF21" s="16"/>
      <c r="AH21" s="16" t="s">
        <v>4</v>
      </c>
      <c r="AI21" s="16" t="s">
        <v>4</v>
      </c>
      <c r="AJ21" s="16" t="s">
        <v>4</v>
      </c>
      <c r="AK21" s="16"/>
      <c r="AL21" s="16" t="s">
        <v>4</v>
      </c>
      <c r="AM21" s="16"/>
      <c r="AN21" s="16" t="s">
        <v>4</v>
      </c>
      <c r="AO21" s="16" t="s">
        <v>4</v>
      </c>
      <c r="AP21" s="16"/>
      <c r="AQ21" s="16"/>
      <c r="AR21" s="16"/>
      <c r="AS21" s="16"/>
      <c r="AT21" s="16"/>
      <c r="AU21" s="16" t="s">
        <v>4</v>
      </c>
      <c r="AV21" s="16"/>
      <c r="AW21" s="16"/>
      <c r="AX21" s="16"/>
      <c r="AY21" s="18"/>
      <c r="AZ21" s="16"/>
      <c r="BA21" s="16"/>
      <c r="BB21" s="16"/>
      <c r="BC21" s="16"/>
    </row>
    <row r="22">
      <c r="A22" s="15"/>
      <c r="B22" s="19" t="s">
        <v>26</v>
      </c>
      <c r="C22" s="17" t="s">
        <v>2</v>
      </c>
      <c r="D22" s="16"/>
      <c r="E22" s="16" t="s">
        <v>4</v>
      </c>
      <c r="F22" s="16"/>
      <c r="G22" s="16" t="s">
        <v>4</v>
      </c>
      <c r="H22" s="16"/>
      <c r="I22" s="16"/>
      <c r="J22" s="16" t="s">
        <v>4</v>
      </c>
      <c r="K22" s="16" t="s">
        <v>4</v>
      </c>
      <c r="L22" s="16"/>
      <c r="M22" s="16"/>
      <c r="N22" s="16"/>
      <c r="O22" s="16"/>
      <c r="P22" s="16"/>
      <c r="Q22" s="16"/>
      <c r="R22" s="16" t="s">
        <v>4</v>
      </c>
      <c r="S22" s="16" t="s">
        <v>4</v>
      </c>
      <c r="T22" s="16" t="s">
        <v>4</v>
      </c>
      <c r="U22" s="16"/>
      <c r="V22" s="16"/>
      <c r="W22" s="16" t="s">
        <v>4</v>
      </c>
      <c r="X22" s="16" t="s">
        <v>4</v>
      </c>
      <c r="Y22" s="16"/>
      <c r="Z22" s="16" t="s">
        <v>4</v>
      </c>
      <c r="AA22" s="16"/>
      <c r="AB22" s="16"/>
      <c r="AC22" s="16" t="s">
        <v>4</v>
      </c>
      <c r="AD22" s="16"/>
      <c r="AF22" s="16"/>
      <c r="AH22" s="16"/>
      <c r="AI22" s="16" t="s">
        <v>4</v>
      </c>
      <c r="AJ22" s="16" t="s">
        <v>4</v>
      </c>
      <c r="AK22" s="16"/>
      <c r="AL22" s="16"/>
      <c r="AM22" s="16" t="s">
        <v>4</v>
      </c>
      <c r="AN22" s="16"/>
      <c r="AO22" s="16"/>
      <c r="AP22" s="16"/>
      <c r="AQ22" s="16"/>
      <c r="AR22" s="16"/>
      <c r="AS22" s="16" t="s">
        <v>4</v>
      </c>
      <c r="AT22" s="16" t="s">
        <v>4</v>
      </c>
      <c r="AU22" s="16" t="s">
        <v>4</v>
      </c>
      <c r="AV22" s="16"/>
      <c r="AW22" s="16"/>
      <c r="AX22" s="16"/>
      <c r="AY22" s="18"/>
      <c r="AZ22" s="16"/>
      <c r="BA22" s="16"/>
      <c r="BB22" s="16"/>
      <c r="BC22" s="16"/>
    </row>
    <row r="23">
      <c r="A23" s="15"/>
      <c r="B23" s="19" t="s">
        <v>27</v>
      </c>
      <c r="C23" s="17" t="s">
        <v>2</v>
      </c>
      <c r="D23" s="16" t="s">
        <v>4</v>
      </c>
      <c r="E23" s="16" t="s">
        <v>4</v>
      </c>
      <c r="F23" s="16"/>
      <c r="G23" s="16" t="s">
        <v>4</v>
      </c>
      <c r="H23" s="16" t="s">
        <v>4</v>
      </c>
      <c r="I23" s="16" t="s">
        <v>4</v>
      </c>
      <c r="J23" s="16" t="s">
        <v>4</v>
      </c>
      <c r="K23" s="16" t="s">
        <v>4</v>
      </c>
      <c r="L23" s="16" t="s">
        <v>4</v>
      </c>
      <c r="M23" s="16" t="s">
        <v>4</v>
      </c>
      <c r="N23" s="16"/>
      <c r="O23" s="16" t="s">
        <v>4</v>
      </c>
      <c r="P23" s="16" t="s">
        <v>4</v>
      </c>
      <c r="Q23" s="16" t="s">
        <v>4</v>
      </c>
      <c r="R23" s="16"/>
      <c r="S23" s="16" t="s">
        <v>4</v>
      </c>
      <c r="T23" s="16"/>
      <c r="U23" s="16"/>
      <c r="V23" s="16" t="s">
        <v>4</v>
      </c>
      <c r="W23" s="16" t="s">
        <v>4</v>
      </c>
      <c r="X23" s="16" t="s">
        <v>4</v>
      </c>
      <c r="Y23" s="16" t="s">
        <v>4</v>
      </c>
      <c r="Z23" s="16" t="s">
        <v>4</v>
      </c>
      <c r="AA23" s="16" t="s">
        <v>4</v>
      </c>
      <c r="AB23" s="16" t="s">
        <v>4</v>
      </c>
      <c r="AC23" s="16" t="s">
        <v>4</v>
      </c>
      <c r="AD23" s="16" t="s">
        <v>4</v>
      </c>
      <c r="AF23" s="16" t="s">
        <v>4</v>
      </c>
      <c r="AH23" s="16" t="s">
        <v>4</v>
      </c>
      <c r="AI23" s="16" t="s">
        <v>4</v>
      </c>
      <c r="AJ23" s="16" t="s">
        <v>4</v>
      </c>
      <c r="AK23" s="16" t="s">
        <v>4</v>
      </c>
      <c r="AL23" s="16" t="s">
        <v>4</v>
      </c>
      <c r="AM23" s="16" t="s">
        <v>4</v>
      </c>
      <c r="AN23" s="16" t="s">
        <v>4</v>
      </c>
      <c r="AO23" s="16" t="s">
        <v>4</v>
      </c>
      <c r="AP23" s="16"/>
      <c r="AQ23" s="16"/>
      <c r="AR23" s="16" t="s">
        <v>4</v>
      </c>
      <c r="AS23" s="16" t="s">
        <v>4</v>
      </c>
      <c r="AT23" s="16" t="s">
        <v>4</v>
      </c>
      <c r="AU23" s="16" t="s">
        <v>4</v>
      </c>
      <c r="AV23" s="16"/>
      <c r="AW23" s="16"/>
      <c r="AX23" s="16"/>
      <c r="AY23" s="18"/>
      <c r="AZ23" s="16"/>
      <c r="BA23" s="16"/>
      <c r="BB23" s="16"/>
      <c r="BC23" s="16"/>
    </row>
    <row r="24">
      <c r="A24" s="15"/>
      <c r="B24" s="19" t="s">
        <v>28</v>
      </c>
      <c r="C24" s="17" t="s">
        <v>2</v>
      </c>
      <c r="D24" s="16" t="s">
        <v>4</v>
      </c>
      <c r="E24" s="16" t="s">
        <v>4</v>
      </c>
      <c r="F24" s="16" t="s">
        <v>4</v>
      </c>
      <c r="G24" s="16" t="s">
        <v>4</v>
      </c>
      <c r="H24" s="16" t="s">
        <v>4</v>
      </c>
      <c r="I24" s="16"/>
      <c r="J24" s="16" t="s">
        <v>4</v>
      </c>
      <c r="K24" s="16" t="s">
        <v>4</v>
      </c>
      <c r="L24" s="16"/>
      <c r="M24" s="16" t="s">
        <v>4</v>
      </c>
      <c r="N24" s="16" t="s">
        <v>4</v>
      </c>
      <c r="O24" s="16" t="s">
        <v>4</v>
      </c>
      <c r="P24" s="16"/>
      <c r="Q24" s="16" t="s">
        <v>4</v>
      </c>
      <c r="R24" s="16"/>
      <c r="S24" s="16" t="s">
        <v>4</v>
      </c>
      <c r="T24" s="16"/>
      <c r="U24" s="16" t="s">
        <v>4</v>
      </c>
      <c r="V24" s="16"/>
      <c r="W24" s="16" t="s">
        <v>4</v>
      </c>
      <c r="X24" s="16" t="s">
        <v>4</v>
      </c>
      <c r="Y24" s="16" t="s">
        <v>4</v>
      </c>
      <c r="Z24" s="16" t="s">
        <v>4</v>
      </c>
      <c r="AA24" s="16" t="s">
        <v>4</v>
      </c>
      <c r="AB24" s="16" t="s">
        <v>4</v>
      </c>
      <c r="AC24" s="16" t="s">
        <v>4</v>
      </c>
      <c r="AD24" s="16"/>
      <c r="AF24" s="16"/>
      <c r="AH24" s="16" t="s">
        <v>4</v>
      </c>
      <c r="AI24" s="16" t="s">
        <v>4</v>
      </c>
      <c r="AJ24" s="16" t="s">
        <v>4</v>
      </c>
      <c r="AK24" s="16" t="s">
        <v>4</v>
      </c>
      <c r="AL24" s="16" t="s">
        <v>4</v>
      </c>
      <c r="AM24" s="16" t="s">
        <v>4</v>
      </c>
      <c r="AN24" s="16" t="s">
        <v>4</v>
      </c>
      <c r="AO24" s="16" t="s">
        <v>4</v>
      </c>
      <c r="AP24" s="16"/>
      <c r="AQ24" s="16"/>
      <c r="AR24" s="16" t="s">
        <v>4</v>
      </c>
      <c r="AS24" s="16" t="s">
        <v>4</v>
      </c>
      <c r="AT24" s="16" t="s">
        <v>4</v>
      </c>
      <c r="AU24" s="16" t="s">
        <v>4</v>
      </c>
      <c r="AV24" s="16"/>
      <c r="AW24" s="16"/>
      <c r="AX24" s="16"/>
      <c r="AY24" s="18"/>
      <c r="AZ24" s="16"/>
      <c r="BA24" s="16"/>
      <c r="BB24" s="16"/>
      <c r="BC24" s="16"/>
    </row>
    <row r="25" ht="15.0" customHeight="1">
      <c r="A25" s="21"/>
      <c r="B25" s="19" t="s">
        <v>29</v>
      </c>
      <c r="C25" s="17" t="s">
        <v>2</v>
      </c>
      <c r="D25" s="16"/>
      <c r="E25" s="16"/>
      <c r="F25" s="16"/>
      <c r="G25" s="16" t="s">
        <v>4</v>
      </c>
      <c r="H25" s="16" t="s">
        <v>4</v>
      </c>
      <c r="I25" s="16"/>
      <c r="J25" s="16"/>
      <c r="K25" s="16"/>
      <c r="L25" s="16"/>
      <c r="M25" s="16" t="s">
        <v>4</v>
      </c>
      <c r="N25" s="16"/>
      <c r="O25" s="16"/>
      <c r="P25" s="16"/>
      <c r="Q25" s="16" t="s">
        <v>4</v>
      </c>
      <c r="R25" s="16" t="s">
        <v>4</v>
      </c>
      <c r="S25" s="16" t="s">
        <v>4</v>
      </c>
      <c r="T25" s="16" t="s">
        <v>4</v>
      </c>
      <c r="U25" s="16"/>
      <c r="V25" s="16" t="s">
        <v>4</v>
      </c>
      <c r="W25" s="16"/>
      <c r="X25" s="16" t="s">
        <v>4</v>
      </c>
      <c r="Y25" s="16" t="s">
        <v>4</v>
      </c>
      <c r="Z25" s="16"/>
      <c r="AA25" s="16" t="s">
        <v>4</v>
      </c>
      <c r="AB25" s="16" t="s">
        <v>4</v>
      </c>
      <c r="AC25" s="16"/>
      <c r="AD25" s="16"/>
      <c r="AF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 t="s">
        <v>4</v>
      </c>
      <c r="AT25" s="16" t="s">
        <v>4</v>
      </c>
      <c r="AU25" s="16" t="s">
        <v>4</v>
      </c>
      <c r="AV25" s="16"/>
      <c r="AW25" s="16"/>
      <c r="AX25" s="16"/>
      <c r="AY25" s="18"/>
      <c r="AZ25" s="16"/>
      <c r="BA25" s="16"/>
      <c r="BB25" s="16"/>
      <c r="BC25" s="16"/>
    </row>
    <row r="26">
      <c r="A26" s="22" t="s">
        <v>30</v>
      </c>
      <c r="B26" s="23" t="s">
        <v>31</v>
      </c>
      <c r="C26" s="9" t="s">
        <v>30</v>
      </c>
      <c r="D26" s="8"/>
      <c r="E26" s="8"/>
      <c r="F26" s="8"/>
      <c r="G26" s="8" t="s">
        <v>4</v>
      </c>
      <c r="H26" s="8"/>
      <c r="I26" s="8" t="s">
        <v>4</v>
      </c>
      <c r="J26" s="8"/>
      <c r="K26" s="8" t="s">
        <v>4</v>
      </c>
      <c r="L26" s="8" t="s">
        <v>4</v>
      </c>
      <c r="M26" s="8" t="s">
        <v>4</v>
      </c>
      <c r="N26" s="8"/>
      <c r="O26" s="8" t="s">
        <v>4</v>
      </c>
      <c r="P26" s="8" t="s">
        <v>4</v>
      </c>
      <c r="Q26" s="8" t="s">
        <v>4</v>
      </c>
      <c r="R26" s="8" t="s">
        <v>4</v>
      </c>
      <c r="S26" s="8"/>
      <c r="T26" s="8"/>
      <c r="U26" s="8" t="s">
        <v>4</v>
      </c>
      <c r="V26" s="8" t="s">
        <v>4</v>
      </c>
      <c r="W26" s="8" t="s">
        <v>4</v>
      </c>
      <c r="X26" s="8" t="s">
        <v>4</v>
      </c>
      <c r="Y26" s="8" t="s">
        <v>4</v>
      </c>
      <c r="Z26" s="8" t="s">
        <v>4</v>
      </c>
      <c r="AA26" s="8"/>
      <c r="AB26" s="8" t="s">
        <v>4</v>
      </c>
      <c r="AC26" s="8" t="s">
        <v>4</v>
      </c>
      <c r="AD26" s="8" t="s">
        <v>4</v>
      </c>
      <c r="AF26" s="8"/>
      <c r="AH26" s="8" t="s">
        <v>4</v>
      </c>
      <c r="AI26" s="8" t="s">
        <v>4</v>
      </c>
      <c r="AJ26" s="8" t="s">
        <v>4</v>
      </c>
      <c r="AK26" s="8" t="s">
        <v>4</v>
      </c>
      <c r="AL26" s="8" t="s">
        <v>4</v>
      </c>
      <c r="AM26" s="8" t="s">
        <v>4</v>
      </c>
      <c r="AN26" s="24" t="s">
        <v>4</v>
      </c>
      <c r="AO26" s="8" t="s">
        <v>4</v>
      </c>
      <c r="AP26" s="8"/>
      <c r="AQ26" s="8"/>
      <c r="AR26" s="8"/>
      <c r="AS26" s="8"/>
      <c r="AT26" s="8" t="s">
        <v>4</v>
      </c>
      <c r="AU26" s="8" t="s">
        <v>4</v>
      </c>
      <c r="AV26" s="8"/>
      <c r="AW26" s="8"/>
      <c r="AX26" s="8"/>
      <c r="AY26" s="25"/>
      <c r="AZ26" s="8"/>
      <c r="BA26" s="8"/>
      <c r="BB26" s="8"/>
      <c r="BC26" s="8"/>
    </row>
    <row r="27">
      <c r="A27" s="15"/>
      <c r="B27" s="16" t="s">
        <v>32</v>
      </c>
      <c r="C27" s="17" t="s">
        <v>30</v>
      </c>
      <c r="D27" s="16" t="s">
        <v>4</v>
      </c>
      <c r="E27" s="16" t="s">
        <v>4</v>
      </c>
      <c r="F27" s="16" t="s">
        <v>4</v>
      </c>
      <c r="G27" s="16"/>
      <c r="H27" s="16"/>
      <c r="I27" s="16" t="s">
        <v>4</v>
      </c>
      <c r="J27" s="16" t="s">
        <v>4</v>
      </c>
      <c r="K27" s="16" t="s">
        <v>4</v>
      </c>
      <c r="L27" s="16" t="s">
        <v>4</v>
      </c>
      <c r="M27" s="16" t="s">
        <v>4</v>
      </c>
      <c r="N27" s="16" t="s">
        <v>4</v>
      </c>
      <c r="O27" s="16"/>
      <c r="P27" s="16" t="s">
        <v>4</v>
      </c>
      <c r="Q27" s="16" t="s">
        <v>4</v>
      </c>
      <c r="R27" s="16" t="s">
        <v>4</v>
      </c>
      <c r="S27" s="16" t="s">
        <v>4</v>
      </c>
      <c r="T27" s="16" t="s">
        <v>4</v>
      </c>
      <c r="U27" s="16" t="s">
        <v>4</v>
      </c>
      <c r="V27" s="16" t="s">
        <v>4</v>
      </c>
      <c r="W27" s="16" t="s">
        <v>4</v>
      </c>
      <c r="X27" s="16" t="s">
        <v>4</v>
      </c>
      <c r="Y27" s="16" t="s">
        <v>4</v>
      </c>
      <c r="Z27" s="16" t="s">
        <v>4</v>
      </c>
      <c r="AA27" s="16"/>
      <c r="AB27" s="16"/>
      <c r="AC27" s="16" t="s">
        <v>4</v>
      </c>
      <c r="AD27" s="16" t="s">
        <v>4</v>
      </c>
      <c r="AF27" s="16" t="s">
        <v>4</v>
      </c>
      <c r="AH27" s="16" t="s">
        <v>4</v>
      </c>
      <c r="AI27" s="16"/>
      <c r="AJ27" s="16"/>
      <c r="AK27" s="16" t="s">
        <v>4</v>
      </c>
      <c r="AL27" s="16"/>
      <c r="AM27" s="16" t="s">
        <v>4</v>
      </c>
      <c r="AN27" s="26" t="s">
        <v>4</v>
      </c>
      <c r="AO27" s="16" t="s">
        <v>4</v>
      </c>
      <c r="AP27" s="16"/>
      <c r="AQ27" s="16"/>
      <c r="AR27" s="16"/>
      <c r="AS27" s="16"/>
      <c r="AT27" s="16"/>
      <c r="AU27" s="16" t="s">
        <v>4</v>
      </c>
      <c r="AV27" s="16"/>
      <c r="AW27" s="16"/>
      <c r="AX27" s="16"/>
      <c r="AY27" s="18"/>
      <c r="AZ27" s="16"/>
      <c r="BA27" s="16"/>
      <c r="BB27" s="16"/>
      <c r="BC27" s="16"/>
    </row>
    <row r="28">
      <c r="A28" s="15"/>
      <c r="B28" s="16" t="s">
        <v>33</v>
      </c>
      <c r="C28" s="17" t="s">
        <v>30</v>
      </c>
      <c r="D28" s="16" t="s">
        <v>4</v>
      </c>
      <c r="E28" s="16" t="s">
        <v>4</v>
      </c>
      <c r="F28" s="16" t="s">
        <v>4</v>
      </c>
      <c r="G28" s="16"/>
      <c r="H28" s="16" t="s">
        <v>4</v>
      </c>
      <c r="I28" s="16" t="s">
        <v>4</v>
      </c>
      <c r="J28" s="16" t="s">
        <v>4</v>
      </c>
      <c r="K28" s="16" t="s">
        <v>4</v>
      </c>
      <c r="L28" s="16" t="s">
        <v>4</v>
      </c>
      <c r="M28" s="16" t="s">
        <v>4</v>
      </c>
      <c r="N28" s="16"/>
      <c r="O28" s="16" t="s">
        <v>4</v>
      </c>
      <c r="P28" s="16"/>
      <c r="Q28" s="16"/>
      <c r="R28" s="16"/>
      <c r="S28" s="16"/>
      <c r="T28" s="16"/>
      <c r="U28" s="16" t="s">
        <v>4</v>
      </c>
      <c r="V28" s="16" t="s">
        <v>4</v>
      </c>
      <c r="W28" s="16" t="s">
        <v>4</v>
      </c>
      <c r="X28" s="16" t="s">
        <v>4</v>
      </c>
      <c r="Y28" s="16"/>
      <c r="Z28" s="16" t="s">
        <v>4</v>
      </c>
      <c r="AA28" s="16"/>
      <c r="AB28" s="16" t="s">
        <v>4</v>
      </c>
      <c r="AC28" s="16"/>
      <c r="AD28" s="16" t="s">
        <v>4</v>
      </c>
      <c r="AF28" s="16"/>
      <c r="AH28" s="16" t="s">
        <v>4</v>
      </c>
      <c r="AI28" s="16"/>
      <c r="AJ28" s="16"/>
      <c r="AK28" s="16" t="s">
        <v>4</v>
      </c>
      <c r="AL28" s="16"/>
      <c r="AM28" s="16" t="s">
        <v>4</v>
      </c>
      <c r="AN28" s="26" t="s">
        <v>4</v>
      </c>
      <c r="AO28" s="16" t="s">
        <v>4</v>
      </c>
      <c r="AP28" s="16"/>
      <c r="AQ28" s="16"/>
      <c r="AR28" s="16"/>
      <c r="AS28" s="16" t="s">
        <v>4</v>
      </c>
      <c r="AT28" s="16" t="s">
        <v>4</v>
      </c>
      <c r="AU28" s="16" t="s">
        <v>4</v>
      </c>
      <c r="AV28" s="16"/>
      <c r="AW28" s="16"/>
      <c r="AX28" s="16"/>
      <c r="AY28" s="18"/>
      <c r="AZ28" s="16"/>
      <c r="BA28" s="16"/>
      <c r="BB28" s="16"/>
      <c r="BC28" s="16"/>
    </row>
    <row r="29">
      <c r="A29" s="15"/>
      <c r="B29" s="16" t="s">
        <v>34</v>
      </c>
      <c r="C29" s="17" t="s">
        <v>30</v>
      </c>
      <c r="D29" s="16" t="s">
        <v>4</v>
      </c>
      <c r="E29" s="16" t="s">
        <v>4</v>
      </c>
      <c r="F29" s="16" t="s">
        <v>4</v>
      </c>
      <c r="G29" s="16"/>
      <c r="H29" s="16" t="s">
        <v>4</v>
      </c>
      <c r="I29" s="16" t="s">
        <v>4</v>
      </c>
      <c r="J29" s="16" t="s">
        <v>4</v>
      </c>
      <c r="K29" s="16" t="s">
        <v>4</v>
      </c>
      <c r="L29" s="16" t="s">
        <v>4</v>
      </c>
      <c r="M29" s="16"/>
      <c r="N29" s="16"/>
      <c r="O29" s="16" t="s">
        <v>4</v>
      </c>
      <c r="P29" s="16"/>
      <c r="Q29" s="16"/>
      <c r="R29" s="16"/>
      <c r="S29" s="16"/>
      <c r="T29" s="16"/>
      <c r="U29" s="16" t="s">
        <v>4</v>
      </c>
      <c r="V29" s="16" t="s">
        <v>4</v>
      </c>
      <c r="W29" s="16" t="s">
        <v>4</v>
      </c>
      <c r="X29" s="16" t="s">
        <v>4</v>
      </c>
      <c r="Y29" s="16"/>
      <c r="Z29" s="16" t="s">
        <v>4</v>
      </c>
      <c r="AA29" s="16"/>
      <c r="AB29" s="16" t="s">
        <v>4</v>
      </c>
      <c r="AC29" s="16"/>
      <c r="AD29" s="16" t="s">
        <v>4</v>
      </c>
      <c r="AF29" s="16"/>
      <c r="AH29" s="16" t="s">
        <v>4</v>
      </c>
      <c r="AI29" s="16" t="s">
        <v>4</v>
      </c>
      <c r="AJ29" s="16" t="s">
        <v>4</v>
      </c>
      <c r="AK29" s="16" t="s">
        <v>4</v>
      </c>
      <c r="AL29" s="16"/>
      <c r="AM29" s="16" t="s">
        <v>4</v>
      </c>
      <c r="AN29" s="26" t="s">
        <v>4</v>
      </c>
      <c r="AO29" s="16" t="s">
        <v>4</v>
      </c>
      <c r="AP29" s="16"/>
      <c r="AQ29" s="16"/>
      <c r="AR29" s="16"/>
      <c r="AS29" s="16" t="s">
        <v>4</v>
      </c>
      <c r="AT29" s="16" t="s">
        <v>4</v>
      </c>
      <c r="AU29" s="16" t="s">
        <v>4</v>
      </c>
      <c r="AV29" s="16"/>
      <c r="AW29" s="16"/>
      <c r="AX29" s="16"/>
      <c r="AY29" s="18"/>
      <c r="AZ29" s="16"/>
      <c r="BA29" s="16"/>
      <c r="BB29" s="16"/>
      <c r="BC29" s="16"/>
    </row>
    <row r="30">
      <c r="A30" s="15"/>
      <c r="B30" s="16" t="s">
        <v>35</v>
      </c>
      <c r="C30" s="17" t="s">
        <v>30</v>
      </c>
      <c r="D30" s="16"/>
      <c r="E30" s="16" t="s">
        <v>4</v>
      </c>
      <c r="F30" s="16"/>
      <c r="G30" s="16" t="s">
        <v>4</v>
      </c>
      <c r="H30" s="16" t="s">
        <v>4</v>
      </c>
      <c r="I30" s="16" t="s">
        <v>4</v>
      </c>
      <c r="J30" s="16" t="s">
        <v>4</v>
      </c>
      <c r="K30" s="16" t="s">
        <v>4</v>
      </c>
      <c r="L30" s="16"/>
      <c r="M30" s="16" t="s">
        <v>4</v>
      </c>
      <c r="N30" s="16" t="s">
        <v>4</v>
      </c>
      <c r="O30" s="16" t="s">
        <v>4</v>
      </c>
      <c r="P30" s="16" t="s">
        <v>4</v>
      </c>
      <c r="Q30" s="16"/>
      <c r="R30" s="16" t="s">
        <v>4</v>
      </c>
      <c r="S30" s="16" t="s">
        <v>4</v>
      </c>
      <c r="T30" s="16" t="s">
        <v>4</v>
      </c>
      <c r="U30" s="16"/>
      <c r="V30" s="16" t="s">
        <v>4</v>
      </c>
      <c r="W30" s="16" t="s">
        <v>4</v>
      </c>
      <c r="X30" s="16" t="s">
        <v>4</v>
      </c>
      <c r="Y30" s="16" t="s">
        <v>4</v>
      </c>
      <c r="Z30" s="16"/>
      <c r="AA30" s="16" t="s">
        <v>4</v>
      </c>
      <c r="AB30" s="16" t="s">
        <v>4</v>
      </c>
      <c r="AC30" s="16" t="s">
        <v>4</v>
      </c>
      <c r="AD30" s="16" t="s">
        <v>4</v>
      </c>
      <c r="AF30" s="16" t="s">
        <v>4</v>
      </c>
      <c r="AH30" s="16" t="s">
        <v>4</v>
      </c>
      <c r="AI30" s="16" t="s">
        <v>4</v>
      </c>
      <c r="AJ30" s="16" t="s">
        <v>4</v>
      </c>
      <c r="AK30" s="16" t="s">
        <v>4</v>
      </c>
      <c r="AL30" s="16"/>
      <c r="AM30" s="16"/>
      <c r="AN30" s="26" t="s">
        <v>4</v>
      </c>
      <c r="AO30" s="16" t="s">
        <v>4</v>
      </c>
      <c r="AP30" s="16"/>
      <c r="AQ30" s="16"/>
      <c r="AR30" s="16" t="s">
        <v>4</v>
      </c>
      <c r="AS30" s="16"/>
      <c r="AT30" s="16" t="s">
        <v>4</v>
      </c>
      <c r="AU30" s="16" t="s">
        <v>4</v>
      </c>
      <c r="AV30" s="16"/>
      <c r="AW30" s="16"/>
      <c r="AX30" s="16"/>
      <c r="AY30" s="18"/>
      <c r="AZ30" s="16"/>
      <c r="BA30" s="16"/>
      <c r="BB30" s="16"/>
      <c r="BC30" s="16"/>
    </row>
    <row r="31">
      <c r="A31" s="15"/>
      <c r="B31" s="16" t="s">
        <v>36</v>
      </c>
      <c r="C31" s="17" t="s">
        <v>30</v>
      </c>
      <c r="D31" s="16"/>
      <c r="E31" s="16" t="s">
        <v>4</v>
      </c>
      <c r="F31" s="16" t="s">
        <v>4</v>
      </c>
      <c r="G31" s="16" t="s">
        <v>4</v>
      </c>
      <c r="H31" s="16" t="s">
        <v>4</v>
      </c>
      <c r="I31" s="16" t="s">
        <v>4</v>
      </c>
      <c r="J31" s="16" t="s">
        <v>4</v>
      </c>
      <c r="K31" s="16" t="s">
        <v>4</v>
      </c>
      <c r="L31" s="16"/>
      <c r="M31" s="16" t="s">
        <v>4</v>
      </c>
      <c r="N31" s="20"/>
      <c r="O31" s="16" t="s">
        <v>4</v>
      </c>
      <c r="P31" s="16"/>
      <c r="Q31" s="16" t="s">
        <v>4</v>
      </c>
      <c r="R31" s="16"/>
      <c r="S31" s="16"/>
      <c r="T31" s="16"/>
      <c r="U31" s="16"/>
      <c r="V31" s="16" t="s">
        <v>4</v>
      </c>
      <c r="W31" s="16" t="s">
        <v>4</v>
      </c>
      <c r="X31" s="16" t="s">
        <v>4</v>
      </c>
      <c r="Y31" s="16" t="s">
        <v>4</v>
      </c>
      <c r="Z31" s="16"/>
      <c r="AA31" s="16" t="s">
        <v>4</v>
      </c>
      <c r="AB31" s="16"/>
      <c r="AC31" s="20"/>
      <c r="AD31" s="16" t="s">
        <v>4</v>
      </c>
      <c r="AF31" s="16" t="s">
        <v>4</v>
      </c>
      <c r="AH31" s="16" t="s">
        <v>4</v>
      </c>
      <c r="AI31" s="16"/>
      <c r="AJ31" s="16"/>
      <c r="AK31" s="16"/>
      <c r="AL31" s="16"/>
      <c r="AM31" s="16" t="s">
        <v>4</v>
      </c>
      <c r="AN31" s="27"/>
      <c r="AO31" s="16"/>
      <c r="AP31" s="16"/>
      <c r="AQ31" s="16"/>
      <c r="AR31" s="16"/>
      <c r="AS31" s="16" t="s">
        <v>4</v>
      </c>
      <c r="AT31" s="16"/>
      <c r="AU31" s="16" t="s">
        <v>4</v>
      </c>
      <c r="AV31" s="16"/>
      <c r="AW31" s="16"/>
      <c r="AX31" s="16"/>
      <c r="AY31" s="18"/>
      <c r="AZ31" s="16"/>
      <c r="BA31" s="16"/>
      <c r="BB31" s="16"/>
      <c r="BC31" s="16"/>
    </row>
    <row r="32">
      <c r="A32" s="15"/>
      <c r="B32" s="16" t="s">
        <v>37</v>
      </c>
      <c r="C32" s="17" t="s">
        <v>30</v>
      </c>
      <c r="D32" s="16"/>
      <c r="E32" s="16" t="s">
        <v>4</v>
      </c>
      <c r="F32" s="16" t="s">
        <v>4</v>
      </c>
      <c r="G32" s="16"/>
      <c r="H32" s="16" t="s">
        <v>4</v>
      </c>
      <c r="I32" s="16" t="s">
        <v>4</v>
      </c>
      <c r="J32" s="16" t="s">
        <v>4</v>
      </c>
      <c r="K32" s="16"/>
      <c r="L32" s="16" t="s">
        <v>4</v>
      </c>
      <c r="M32" s="16" t="s">
        <v>4</v>
      </c>
      <c r="N32" s="16" t="s">
        <v>4</v>
      </c>
      <c r="O32" s="16"/>
      <c r="P32" s="16" t="s">
        <v>4</v>
      </c>
      <c r="Q32" s="16" t="s">
        <v>4</v>
      </c>
      <c r="R32" s="16" t="s">
        <v>4</v>
      </c>
      <c r="S32" s="16" t="s">
        <v>4</v>
      </c>
      <c r="T32" s="16" t="s">
        <v>4</v>
      </c>
      <c r="U32" s="16"/>
      <c r="V32" s="16"/>
      <c r="W32" s="16" t="s">
        <v>4</v>
      </c>
      <c r="X32" s="16"/>
      <c r="Y32" s="16" t="s">
        <v>4</v>
      </c>
      <c r="Z32" s="16" t="s">
        <v>4</v>
      </c>
      <c r="AA32" s="16" t="s">
        <v>4</v>
      </c>
      <c r="AB32" s="16"/>
      <c r="AC32" s="16" t="s">
        <v>4</v>
      </c>
      <c r="AD32" s="16" t="s">
        <v>4</v>
      </c>
      <c r="AF32" s="16" t="s">
        <v>4</v>
      </c>
      <c r="AH32" s="16" t="s">
        <v>4</v>
      </c>
      <c r="AI32" s="16" t="s">
        <v>4</v>
      </c>
      <c r="AJ32" s="16" t="s">
        <v>4</v>
      </c>
      <c r="AK32" s="16" t="s">
        <v>4</v>
      </c>
      <c r="AL32" s="16"/>
      <c r="AM32" s="16" t="s">
        <v>4</v>
      </c>
      <c r="AN32" s="26" t="s">
        <v>4</v>
      </c>
      <c r="AO32" s="16" t="s">
        <v>4</v>
      </c>
      <c r="AP32" s="16"/>
      <c r="AQ32" s="16"/>
      <c r="AR32" s="16" t="s">
        <v>4</v>
      </c>
      <c r="AS32" s="16" t="s">
        <v>4</v>
      </c>
      <c r="AT32" s="16" t="s">
        <v>4</v>
      </c>
      <c r="AU32" s="16" t="s">
        <v>4</v>
      </c>
      <c r="AV32" s="16"/>
      <c r="AW32" s="16"/>
      <c r="AX32" s="16"/>
      <c r="AY32" s="18"/>
      <c r="AZ32" s="16"/>
      <c r="BA32" s="16"/>
      <c r="BB32" s="16"/>
      <c r="BC32" s="16"/>
    </row>
    <row r="33">
      <c r="A33" s="15"/>
      <c r="B33" s="16" t="s">
        <v>38</v>
      </c>
      <c r="C33" s="17" t="s">
        <v>30</v>
      </c>
      <c r="D33" s="16"/>
      <c r="E33" s="16" t="s">
        <v>4</v>
      </c>
      <c r="F33" s="16"/>
      <c r="G33" s="16"/>
      <c r="H33" s="16" t="s">
        <v>4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 t="s">
        <v>4</v>
      </c>
      <c r="Y33" s="16" t="s">
        <v>4</v>
      </c>
      <c r="Z33" s="16"/>
      <c r="AA33" s="16" t="s">
        <v>4</v>
      </c>
      <c r="AB33" s="16" t="s">
        <v>4</v>
      </c>
      <c r="AC33" s="16"/>
      <c r="AD33" s="20"/>
      <c r="AF33" s="20"/>
      <c r="AH33" s="16"/>
      <c r="AI33" s="16"/>
      <c r="AJ33" s="16"/>
      <c r="AK33" s="16"/>
      <c r="AL33" s="16"/>
      <c r="AM33" s="16"/>
      <c r="AN33" s="27"/>
      <c r="AO33" s="16"/>
      <c r="AP33" s="16"/>
      <c r="AQ33" s="16"/>
      <c r="AR33" s="16"/>
      <c r="AS33" s="16"/>
      <c r="AT33" s="16" t="s">
        <v>4</v>
      </c>
      <c r="AU33" s="16" t="s">
        <v>4</v>
      </c>
      <c r="AV33" s="16"/>
      <c r="AW33" s="16"/>
      <c r="AX33" s="16"/>
      <c r="AY33" s="18"/>
      <c r="AZ33" s="16"/>
      <c r="BA33" s="16"/>
      <c r="BB33" s="16"/>
      <c r="BC33" s="16"/>
    </row>
    <row r="34">
      <c r="A34" s="15"/>
      <c r="B34" s="19" t="s">
        <v>39</v>
      </c>
      <c r="C34" s="17" t="s">
        <v>30</v>
      </c>
      <c r="D34" s="16" t="s">
        <v>4</v>
      </c>
      <c r="E34" s="16" t="s">
        <v>4</v>
      </c>
      <c r="F34" s="16" t="s">
        <v>4</v>
      </c>
      <c r="G34" s="16" t="s">
        <v>4</v>
      </c>
      <c r="H34" s="16"/>
      <c r="I34" s="16"/>
      <c r="J34" s="16" t="s">
        <v>4</v>
      </c>
      <c r="K34" s="16"/>
      <c r="L34" s="16" t="s">
        <v>4</v>
      </c>
      <c r="M34" s="16" t="s">
        <v>4</v>
      </c>
      <c r="N34" s="16" t="s">
        <v>4</v>
      </c>
      <c r="O34" s="16"/>
      <c r="P34" s="16" t="s">
        <v>4</v>
      </c>
      <c r="Q34" s="16" t="s">
        <v>4</v>
      </c>
      <c r="R34" s="16" t="s">
        <v>4</v>
      </c>
      <c r="S34" s="16"/>
      <c r="T34" s="16" t="s">
        <v>4</v>
      </c>
      <c r="U34" s="16" t="s">
        <v>4</v>
      </c>
      <c r="V34" s="16" t="s">
        <v>4</v>
      </c>
      <c r="W34" s="16"/>
      <c r="X34" s="16" t="s">
        <v>4</v>
      </c>
      <c r="Y34" s="16" t="s">
        <v>4</v>
      </c>
      <c r="Z34" s="16"/>
      <c r="AA34" s="20"/>
      <c r="AB34" s="16" t="s">
        <v>4</v>
      </c>
      <c r="AC34" s="16" t="s">
        <v>4</v>
      </c>
      <c r="AD34" s="20"/>
      <c r="AF34" s="20"/>
      <c r="AH34" s="16"/>
      <c r="AI34" s="16" t="s">
        <v>4</v>
      </c>
      <c r="AJ34" s="16" t="s">
        <v>4</v>
      </c>
      <c r="AK34" s="16" t="s">
        <v>4</v>
      </c>
      <c r="AL34" s="16" t="s">
        <v>4</v>
      </c>
      <c r="AM34" s="16"/>
      <c r="AN34" s="27"/>
      <c r="AO34" s="16"/>
      <c r="AP34" s="16"/>
      <c r="AQ34" s="16"/>
      <c r="AR34" s="16"/>
      <c r="AS34" s="16" t="s">
        <v>4</v>
      </c>
      <c r="AT34" s="16"/>
      <c r="AU34" s="16"/>
      <c r="AV34" s="16"/>
      <c r="AW34" s="16"/>
      <c r="AX34" s="16"/>
      <c r="AY34" s="18"/>
      <c r="AZ34" s="16"/>
      <c r="BA34" s="16"/>
      <c r="BB34" s="16"/>
      <c r="BC34" s="16"/>
    </row>
    <row r="35">
      <c r="A35" s="15"/>
      <c r="B35" s="16" t="s">
        <v>40</v>
      </c>
      <c r="C35" s="17" t="s">
        <v>30</v>
      </c>
      <c r="D35" s="16" t="s">
        <v>4</v>
      </c>
      <c r="E35" s="16" t="s">
        <v>4</v>
      </c>
      <c r="F35" s="16" t="s">
        <v>4</v>
      </c>
      <c r="G35" s="16" t="s">
        <v>4</v>
      </c>
      <c r="H35" s="16"/>
      <c r="I35" s="16"/>
      <c r="J35" s="16" t="s">
        <v>4</v>
      </c>
      <c r="K35" s="16"/>
      <c r="L35" s="16" t="s">
        <v>4</v>
      </c>
      <c r="M35" s="16" t="s">
        <v>4</v>
      </c>
      <c r="N35" s="16" t="s">
        <v>4</v>
      </c>
      <c r="O35" s="16"/>
      <c r="P35" s="16" t="s">
        <v>4</v>
      </c>
      <c r="Q35" s="16" t="s">
        <v>4</v>
      </c>
      <c r="R35" s="16" t="s">
        <v>4</v>
      </c>
      <c r="S35" s="16"/>
      <c r="T35" s="16" t="s">
        <v>4</v>
      </c>
      <c r="U35" s="16" t="s">
        <v>4</v>
      </c>
      <c r="V35" s="16" t="s">
        <v>4</v>
      </c>
      <c r="W35" s="16"/>
      <c r="X35" s="16" t="s">
        <v>4</v>
      </c>
      <c r="Y35" s="16" t="s">
        <v>4</v>
      </c>
      <c r="Z35" s="16"/>
      <c r="AA35" s="20"/>
      <c r="AB35" s="16" t="s">
        <v>4</v>
      </c>
      <c r="AC35" s="16" t="s">
        <v>4</v>
      </c>
      <c r="AD35" s="20"/>
      <c r="AF35" s="20"/>
      <c r="AH35" s="16"/>
      <c r="AI35" s="16" t="s">
        <v>4</v>
      </c>
      <c r="AJ35" s="16" t="s">
        <v>4</v>
      </c>
      <c r="AK35" s="16" t="s">
        <v>4</v>
      </c>
      <c r="AL35" s="16" t="s">
        <v>4</v>
      </c>
      <c r="AM35" s="16"/>
      <c r="AN35" s="27"/>
      <c r="AO35" s="16"/>
      <c r="AP35" s="16"/>
      <c r="AQ35" s="16"/>
      <c r="AR35" s="16"/>
      <c r="AS35" s="16" t="s">
        <v>4</v>
      </c>
      <c r="AT35" s="16"/>
      <c r="AU35" s="16"/>
      <c r="AV35" s="16"/>
      <c r="AW35" s="16"/>
      <c r="AX35" s="16"/>
      <c r="AY35" s="18"/>
      <c r="AZ35" s="16"/>
      <c r="BA35" s="16"/>
      <c r="BB35" s="16"/>
      <c r="BC35" s="16"/>
    </row>
    <row r="36">
      <c r="A36" s="15"/>
      <c r="B36" s="16" t="s">
        <v>41</v>
      </c>
      <c r="C36" s="17" t="s">
        <v>30</v>
      </c>
      <c r="D36" s="16" t="s">
        <v>4</v>
      </c>
      <c r="E36" s="16" t="s">
        <v>4</v>
      </c>
      <c r="F36" s="16" t="s">
        <v>4</v>
      </c>
      <c r="G36" s="16"/>
      <c r="H36" s="16" t="s">
        <v>4</v>
      </c>
      <c r="I36" s="16"/>
      <c r="J36" s="16" t="s">
        <v>4</v>
      </c>
      <c r="K36" s="16" t="s">
        <v>4</v>
      </c>
      <c r="L36" s="16" t="s">
        <v>4</v>
      </c>
      <c r="M36" s="16" t="s">
        <v>4</v>
      </c>
      <c r="N36" s="16"/>
      <c r="O36" s="16" t="s">
        <v>4</v>
      </c>
      <c r="P36" s="16" t="s">
        <v>4</v>
      </c>
      <c r="Q36" s="16" t="s">
        <v>4</v>
      </c>
      <c r="R36" s="16" t="s">
        <v>4</v>
      </c>
      <c r="S36" s="16" t="s">
        <v>4</v>
      </c>
      <c r="T36" s="16" t="s">
        <v>4</v>
      </c>
      <c r="U36" s="16" t="s">
        <v>4</v>
      </c>
      <c r="V36" s="16" t="s">
        <v>4</v>
      </c>
      <c r="W36" s="16" t="s">
        <v>4</v>
      </c>
      <c r="X36" s="16" t="s">
        <v>4</v>
      </c>
      <c r="Y36" s="16" t="s">
        <v>4</v>
      </c>
      <c r="Z36" s="16"/>
      <c r="AA36" s="16" t="s">
        <v>4</v>
      </c>
      <c r="AB36" s="16" t="s">
        <v>4</v>
      </c>
      <c r="AC36" s="16" t="s">
        <v>4</v>
      </c>
      <c r="AD36" s="20"/>
      <c r="AF36" s="16" t="s">
        <v>4</v>
      </c>
      <c r="AH36" s="16" t="s">
        <v>4</v>
      </c>
      <c r="AI36" s="16" t="s">
        <v>4</v>
      </c>
      <c r="AJ36" s="16" t="s">
        <v>4</v>
      </c>
      <c r="AK36" s="16" t="s">
        <v>4</v>
      </c>
      <c r="AL36" s="16"/>
      <c r="AM36" s="16" t="s">
        <v>4</v>
      </c>
      <c r="AN36" s="26" t="s">
        <v>4</v>
      </c>
      <c r="AO36" s="16" t="s">
        <v>4</v>
      </c>
      <c r="AP36" s="16"/>
      <c r="AQ36" s="16"/>
      <c r="AR36" s="16" t="s">
        <v>4</v>
      </c>
      <c r="AS36" s="16" t="s">
        <v>4</v>
      </c>
      <c r="AT36" s="16" t="s">
        <v>4</v>
      </c>
      <c r="AU36" s="16" t="s">
        <v>4</v>
      </c>
      <c r="AV36" s="16"/>
      <c r="AW36" s="16"/>
      <c r="AX36" s="16"/>
      <c r="AY36" s="18"/>
      <c r="AZ36" s="16"/>
      <c r="BA36" s="16"/>
      <c r="BB36" s="16"/>
      <c r="BC36" s="16"/>
    </row>
    <row r="37">
      <c r="A37" s="15"/>
      <c r="B37" s="16" t="s">
        <v>42</v>
      </c>
      <c r="C37" s="17" t="s">
        <v>30</v>
      </c>
      <c r="D37" s="16" t="s">
        <v>4</v>
      </c>
      <c r="E37" s="16" t="s">
        <v>4</v>
      </c>
      <c r="F37" s="16" t="s">
        <v>4</v>
      </c>
      <c r="G37" s="16" t="s">
        <v>4</v>
      </c>
      <c r="H37" s="16" t="s">
        <v>4</v>
      </c>
      <c r="I37" s="16" t="s">
        <v>4</v>
      </c>
      <c r="J37" s="16" t="s">
        <v>4</v>
      </c>
      <c r="K37" s="16" t="s">
        <v>4</v>
      </c>
      <c r="L37" s="16" t="s">
        <v>4</v>
      </c>
      <c r="M37" s="16" t="s">
        <v>4</v>
      </c>
      <c r="N37" s="16" t="s">
        <v>4</v>
      </c>
      <c r="O37" s="16" t="s">
        <v>4</v>
      </c>
      <c r="P37" s="16" t="s">
        <v>4</v>
      </c>
      <c r="Q37" s="16" t="s">
        <v>4</v>
      </c>
      <c r="R37" s="16"/>
      <c r="S37" s="16" t="s">
        <v>4</v>
      </c>
      <c r="T37" s="16" t="s">
        <v>4</v>
      </c>
      <c r="U37" s="16" t="s">
        <v>4</v>
      </c>
      <c r="V37" s="16" t="s">
        <v>4</v>
      </c>
      <c r="W37" s="16" t="s">
        <v>4</v>
      </c>
      <c r="X37" s="16" t="s">
        <v>4</v>
      </c>
      <c r="Y37" s="16" t="s">
        <v>4</v>
      </c>
      <c r="Z37" s="16" t="s">
        <v>4</v>
      </c>
      <c r="AA37" s="16" t="s">
        <v>4</v>
      </c>
      <c r="AB37" s="16" t="s">
        <v>4</v>
      </c>
      <c r="AC37" s="16" t="s">
        <v>4</v>
      </c>
      <c r="AD37" s="20"/>
      <c r="AF37" s="16" t="s">
        <v>4</v>
      </c>
      <c r="AH37" s="16" t="s">
        <v>4</v>
      </c>
      <c r="AI37" s="16" t="s">
        <v>4</v>
      </c>
      <c r="AJ37" s="16" t="s">
        <v>4</v>
      </c>
      <c r="AK37" s="16" t="s">
        <v>4</v>
      </c>
      <c r="AL37" s="16" t="s">
        <v>4</v>
      </c>
      <c r="AM37" s="16" t="s">
        <v>4</v>
      </c>
      <c r="AN37" s="26" t="s">
        <v>4</v>
      </c>
      <c r="AO37" s="16" t="s">
        <v>4</v>
      </c>
      <c r="AP37" s="16"/>
      <c r="AQ37" s="16"/>
      <c r="AR37" s="16" t="s">
        <v>4</v>
      </c>
      <c r="AS37" s="16" t="s">
        <v>4</v>
      </c>
      <c r="AT37" s="16" t="s">
        <v>4</v>
      </c>
      <c r="AU37" s="16" t="s">
        <v>4</v>
      </c>
      <c r="AV37" s="16"/>
      <c r="AW37" s="16"/>
      <c r="AX37" s="16"/>
      <c r="AY37" s="18"/>
      <c r="AZ37" s="16"/>
      <c r="BA37" s="16"/>
      <c r="BB37" s="16"/>
      <c r="BC37" s="16"/>
    </row>
    <row r="38">
      <c r="A38" s="15"/>
      <c r="B38" s="28" t="s">
        <v>43</v>
      </c>
      <c r="C38" s="17" t="s">
        <v>30</v>
      </c>
      <c r="D38" s="16" t="s">
        <v>4</v>
      </c>
      <c r="E38" s="16"/>
      <c r="F38" s="16" t="s">
        <v>4</v>
      </c>
      <c r="G38" s="16" t="s">
        <v>4</v>
      </c>
      <c r="H38" s="16"/>
      <c r="I38" s="16" t="s">
        <v>4</v>
      </c>
      <c r="J38" s="16"/>
      <c r="K38" s="16" t="s">
        <v>4</v>
      </c>
      <c r="L38" s="16" t="s">
        <v>4</v>
      </c>
      <c r="M38" s="16"/>
      <c r="N38" s="16"/>
      <c r="O38" s="16"/>
      <c r="P38" s="16" t="s">
        <v>4</v>
      </c>
      <c r="Q38" s="16" t="s">
        <v>4</v>
      </c>
      <c r="R38" s="16" t="s">
        <v>4</v>
      </c>
      <c r="S38" s="16"/>
      <c r="T38" s="16" t="s">
        <v>4</v>
      </c>
      <c r="U38" s="16" t="s">
        <v>4</v>
      </c>
      <c r="V38" s="16"/>
      <c r="W38" s="16"/>
      <c r="X38" s="16"/>
      <c r="Y38" s="16"/>
      <c r="Z38" s="16"/>
      <c r="AA38" s="16" t="s">
        <v>4</v>
      </c>
      <c r="AB38" s="16" t="s">
        <v>4</v>
      </c>
      <c r="AC38" s="16"/>
      <c r="AD38" s="20"/>
      <c r="AF38" s="20"/>
      <c r="AH38" s="16" t="s">
        <v>4</v>
      </c>
      <c r="AI38" s="20"/>
      <c r="AJ38" s="20"/>
      <c r="AK38" s="16"/>
      <c r="AL38" s="16" t="s">
        <v>4</v>
      </c>
      <c r="AM38" s="16" t="s">
        <v>4</v>
      </c>
      <c r="AN38" s="27"/>
      <c r="AO38" s="16"/>
      <c r="AP38" s="20"/>
      <c r="AQ38" s="16"/>
      <c r="AR38" s="16"/>
      <c r="AS38" s="20"/>
      <c r="AT38" s="16"/>
      <c r="AU38" s="16"/>
      <c r="AV38" s="16"/>
      <c r="AW38" s="16"/>
      <c r="AX38" s="16"/>
      <c r="AY38" s="18"/>
      <c r="AZ38" s="16"/>
      <c r="BA38" s="16"/>
      <c r="BB38" s="16"/>
      <c r="BC38" s="16"/>
    </row>
    <row r="39" ht="14.25" customHeight="1">
      <c r="A39" s="15"/>
      <c r="B39" s="28" t="s">
        <v>44</v>
      </c>
      <c r="C39" s="17" t="s">
        <v>30</v>
      </c>
      <c r="D39" s="16" t="s">
        <v>4</v>
      </c>
      <c r="E39" s="16"/>
      <c r="F39" s="16" t="s">
        <v>4</v>
      </c>
      <c r="G39" s="16" t="s">
        <v>4</v>
      </c>
      <c r="H39" s="16" t="s">
        <v>4</v>
      </c>
      <c r="I39" s="16" t="s">
        <v>4</v>
      </c>
      <c r="J39" s="16"/>
      <c r="K39" s="16" t="s">
        <v>4</v>
      </c>
      <c r="L39" s="16" t="s">
        <v>4</v>
      </c>
      <c r="M39" s="16" t="s">
        <v>4</v>
      </c>
      <c r="N39" s="16"/>
      <c r="O39" s="16" t="s">
        <v>4</v>
      </c>
      <c r="P39" s="16" t="s">
        <v>4</v>
      </c>
      <c r="Q39" s="16"/>
      <c r="R39" s="16" t="s">
        <v>4</v>
      </c>
      <c r="S39" s="16"/>
      <c r="T39" s="16" t="s">
        <v>4</v>
      </c>
      <c r="U39" s="16" t="s">
        <v>4</v>
      </c>
      <c r="V39" s="16" t="s">
        <v>4</v>
      </c>
      <c r="W39" s="16"/>
      <c r="X39" s="16"/>
      <c r="Y39" s="16"/>
      <c r="Z39" s="16"/>
      <c r="AA39" s="16" t="s">
        <v>4</v>
      </c>
      <c r="AB39" s="16" t="s">
        <v>4</v>
      </c>
      <c r="AC39" s="16"/>
      <c r="AD39" s="16" t="s">
        <v>4</v>
      </c>
      <c r="AF39" s="16"/>
      <c r="AH39" s="20"/>
      <c r="AI39" s="20"/>
      <c r="AJ39" s="20"/>
      <c r="AK39" s="16" t="s">
        <v>4</v>
      </c>
      <c r="AL39" s="16" t="s">
        <v>4</v>
      </c>
      <c r="AM39" s="16" t="s">
        <v>4</v>
      </c>
      <c r="AN39" s="27"/>
      <c r="AO39" s="16"/>
      <c r="AP39" s="20"/>
      <c r="AQ39" s="16"/>
      <c r="AR39" s="16"/>
      <c r="AS39" s="16" t="s">
        <v>4</v>
      </c>
      <c r="AT39" s="16"/>
      <c r="AU39" s="16"/>
      <c r="AV39" s="16"/>
      <c r="AW39" s="16"/>
      <c r="AX39" s="16"/>
      <c r="AY39" s="18"/>
      <c r="AZ39" s="16"/>
      <c r="BA39" s="16"/>
      <c r="BB39" s="16"/>
      <c r="BC39" s="16"/>
    </row>
    <row r="40" ht="14.25" customHeight="1">
      <c r="A40" s="15"/>
      <c r="B40" s="28" t="s">
        <v>45</v>
      </c>
      <c r="C40" s="17" t="s">
        <v>30</v>
      </c>
      <c r="D40" s="20"/>
      <c r="E40" s="20"/>
      <c r="F40" s="16" t="s">
        <v>4</v>
      </c>
      <c r="G40" s="16"/>
      <c r="H40" s="16" t="s">
        <v>4</v>
      </c>
      <c r="I40" s="16"/>
      <c r="J40" s="20"/>
      <c r="K40" s="20"/>
      <c r="L40" s="16" t="s">
        <v>4</v>
      </c>
      <c r="M40" s="16"/>
      <c r="N40" s="16"/>
      <c r="O40" s="16"/>
      <c r="P40" s="16" t="s">
        <v>4</v>
      </c>
      <c r="Q40" s="16"/>
      <c r="R40" s="16"/>
      <c r="S40" s="16" t="s">
        <v>4</v>
      </c>
      <c r="T40" s="16" t="s">
        <v>4</v>
      </c>
      <c r="U40" s="16"/>
      <c r="V40" s="16" t="s">
        <v>4</v>
      </c>
      <c r="W40" s="16" t="s">
        <v>4</v>
      </c>
      <c r="X40" s="16"/>
      <c r="Y40" s="16" t="s">
        <v>4</v>
      </c>
      <c r="Z40" s="16"/>
      <c r="AA40" s="16" t="s">
        <v>4</v>
      </c>
      <c r="AB40" s="16" t="s">
        <v>4</v>
      </c>
      <c r="AC40" s="16"/>
      <c r="AD40" s="20"/>
      <c r="AF40" s="16" t="s">
        <v>4</v>
      </c>
      <c r="AH40" s="20"/>
      <c r="AI40" s="16" t="s">
        <v>4</v>
      </c>
      <c r="AJ40" s="16" t="s">
        <v>4</v>
      </c>
      <c r="AK40" s="16"/>
      <c r="AL40" s="20"/>
      <c r="AM40" s="16" t="s">
        <v>4</v>
      </c>
      <c r="AN40" s="29" t="s">
        <v>4</v>
      </c>
      <c r="AO40" s="16"/>
      <c r="AP40" s="20"/>
      <c r="AQ40" s="16"/>
      <c r="AR40" s="16" t="s">
        <v>4</v>
      </c>
      <c r="AS40" s="20"/>
      <c r="AT40" s="16"/>
      <c r="AU40" s="16" t="s">
        <v>4</v>
      </c>
      <c r="AV40" s="16"/>
      <c r="AW40" s="16"/>
      <c r="AX40" s="16"/>
      <c r="AY40" s="18"/>
      <c r="AZ40" s="16"/>
      <c r="BA40" s="16"/>
      <c r="BB40" s="16"/>
      <c r="BC40" s="16"/>
    </row>
    <row r="41" ht="14.25" customHeight="1">
      <c r="A41" s="15"/>
      <c r="B41" s="28" t="s">
        <v>46</v>
      </c>
      <c r="C41" s="30" t="s">
        <v>30</v>
      </c>
      <c r="D41" s="20"/>
      <c r="E41" s="16" t="s">
        <v>4</v>
      </c>
      <c r="F41" s="20"/>
      <c r="G41" s="16" t="s">
        <v>4</v>
      </c>
      <c r="H41" s="20"/>
      <c r="I41" s="16"/>
      <c r="J41" s="16" t="s">
        <v>4</v>
      </c>
      <c r="K41" s="16"/>
      <c r="L41" s="16"/>
      <c r="M41" s="16" t="s">
        <v>4</v>
      </c>
      <c r="N41" s="16"/>
      <c r="O41" s="16" t="s">
        <v>4</v>
      </c>
      <c r="P41" s="16"/>
      <c r="Q41" s="16" t="s">
        <v>4</v>
      </c>
      <c r="R41" s="16"/>
      <c r="S41" s="16" t="s">
        <v>4</v>
      </c>
      <c r="T41" s="16"/>
      <c r="U41" s="16" t="s">
        <v>4</v>
      </c>
      <c r="V41" s="16"/>
      <c r="W41" s="16"/>
      <c r="X41" s="16" t="s">
        <v>4</v>
      </c>
      <c r="Y41" s="16"/>
      <c r="Z41" s="16" t="s">
        <v>4</v>
      </c>
      <c r="AA41" s="20"/>
      <c r="AB41" s="16"/>
      <c r="AC41" s="16"/>
      <c r="AD41" s="20"/>
      <c r="AF41" s="16" t="s">
        <v>4</v>
      </c>
      <c r="AH41" s="16" t="s">
        <v>4</v>
      </c>
      <c r="AI41" s="20"/>
      <c r="AJ41" s="16"/>
      <c r="AK41" s="16"/>
      <c r="AL41" s="16" t="s">
        <v>4</v>
      </c>
      <c r="AM41" s="20"/>
      <c r="AN41" s="26"/>
      <c r="AO41" s="16" t="s">
        <v>4</v>
      </c>
      <c r="AP41" s="20"/>
      <c r="AQ41" s="16"/>
      <c r="AR41" s="16"/>
      <c r="AS41" s="20"/>
      <c r="AT41" s="16"/>
      <c r="AU41" s="16" t="s">
        <v>4</v>
      </c>
      <c r="AV41" s="16"/>
      <c r="AW41" s="16"/>
      <c r="AX41" s="16"/>
      <c r="AY41" s="18"/>
      <c r="AZ41" s="16"/>
      <c r="BA41" s="16"/>
      <c r="BB41" s="16"/>
      <c r="BC41" s="16"/>
    </row>
    <row r="42" ht="14.25" customHeight="1">
      <c r="A42" s="15"/>
      <c r="B42" s="28" t="s">
        <v>47</v>
      </c>
      <c r="C42" s="30" t="s">
        <v>30</v>
      </c>
      <c r="D42" s="20"/>
      <c r="E42" s="20"/>
      <c r="F42" s="20"/>
      <c r="G42" s="20"/>
      <c r="H42" s="20"/>
      <c r="I42" s="16"/>
      <c r="J42" s="20"/>
      <c r="K42" s="20"/>
      <c r="L42" s="16" t="s">
        <v>4</v>
      </c>
      <c r="M42" s="16"/>
      <c r="N42" s="16"/>
      <c r="O42" s="16"/>
      <c r="P42" s="16" t="s">
        <v>4</v>
      </c>
      <c r="Q42" s="16"/>
      <c r="R42" s="16"/>
      <c r="S42" s="16"/>
      <c r="T42" s="20"/>
      <c r="U42" s="16"/>
      <c r="V42" s="16"/>
      <c r="W42" s="16" t="s">
        <v>4</v>
      </c>
      <c r="X42" s="16"/>
      <c r="Y42" s="16" t="s">
        <v>4</v>
      </c>
      <c r="Z42" s="16"/>
      <c r="AA42" s="20"/>
      <c r="AB42" s="16"/>
      <c r="AC42" s="16"/>
      <c r="AD42" s="20"/>
      <c r="AF42" s="20"/>
      <c r="AH42" s="20"/>
      <c r="AI42" s="20"/>
      <c r="AJ42" s="16"/>
      <c r="AK42" s="16" t="s">
        <v>4</v>
      </c>
      <c r="AL42" s="20"/>
      <c r="AM42" s="20"/>
      <c r="AN42" s="27"/>
      <c r="AO42" s="16"/>
      <c r="AP42" s="20"/>
      <c r="AQ42" s="16"/>
      <c r="AR42" s="16"/>
      <c r="AS42" s="20"/>
      <c r="AT42" s="16"/>
      <c r="AU42" s="16" t="s">
        <v>4</v>
      </c>
      <c r="AV42" s="16"/>
      <c r="AW42" s="16"/>
      <c r="AX42" s="16"/>
      <c r="AY42" s="18"/>
      <c r="AZ42" s="16"/>
      <c r="BA42" s="16"/>
      <c r="BB42" s="16"/>
      <c r="BC42" s="16"/>
    </row>
    <row r="43" ht="14.25" customHeight="1">
      <c r="A43" s="15"/>
      <c r="B43" s="28" t="s">
        <v>48</v>
      </c>
      <c r="C43" s="30" t="s">
        <v>30</v>
      </c>
      <c r="D43" s="20"/>
      <c r="E43" s="20"/>
      <c r="F43" s="20"/>
      <c r="G43" s="16" t="s">
        <v>4</v>
      </c>
      <c r="H43" s="20"/>
      <c r="I43" s="16"/>
      <c r="J43" s="16" t="s">
        <v>4</v>
      </c>
      <c r="K43" s="20"/>
      <c r="L43" s="16"/>
      <c r="M43" s="16"/>
      <c r="N43" s="16"/>
      <c r="O43" s="16" t="s">
        <v>4</v>
      </c>
      <c r="P43" s="16"/>
      <c r="Q43" s="16"/>
      <c r="R43" s="16"/>
      <c r="S43" s="16"/>
      <c r="T43" s="20"/>
      <c r="U43" s="16" t="s">
        <v>4</v>
      </c>
      <c r="V43" s="16" t="s">
        <v>4</v>
      </c>
      <c r="W43" s="16"/>
      <c r="X43" s="16" t="s">
        <v>4</v>
      </c>
      <c r="Y43" s="16"/>
      <c r="Z43" s="16" t="s">
        <v>4</v>
      </c>
      <c r="AA43" s="20"/>
      <c r="AB43" s="16"/>
      <c r="AC43" s="16"/>
      <c r="AD43" s="20"/>
      <c r="AF43" s="20"/>
      <c r="AH43" s="20"/>
      <c r="AI43" s="20"/>
      <c r="AJ43" s="16"/>
      <c r="AK43" s="16"/>
      <c r="AL43" s="16" t="s">
        <v>4</v>
      </c>
      <c r="AM43" s="20"/>
      <c r="AN43" s="26"/>
      <c r="AO43" s="16" t="s">
        <v>4</v>
      </c>
      <c r="AP43" s="20"/>
      <c r="AQ43" s="16"/>
      <c r="AR43" s="16"/>
      <c r="AS43" s="20"/>
      <c r="AT43" s="16"/>
      <c r="AU43" s="16" t="s">
        <v>4</v>
      </c>
      <c r="AV43" s="16"/>
      <c r="AW43" s="16"/>
      <c r="AX43" s="16"/>
      <c r="AY43" s="18"/>
      <c r="AZ43" s="16"/>
      <c r="BA43" s="16"/>
      <c r="BB43" s="16"/>
      <c r="BC43" s="16"/>
    </row>
    <row r="44" ht="14.25" customHeight="1">
      <c r="A44" s="15"/>
      <c r="B44" s="28" t="s">
        <v>49</v>
      </c>
      <c r="C44" s="30" t="s">
        <v>30</v>
      </c>
      <c r="D44" s="20"/>
      <c r="E44" s="20"/>
      <c r="F44" s="20"/>
      <c r="G44" s="16"/>
      <c r="H44" s="20"/>
      <c r="I44" s="16"/>
      <c r="J44" s="16"/>
      <c r="K44" s="20"/>
      <c r="L44" s="16" t="s">
        <v>4</v>
      </c>
      <c r="M44" s="16"/>
      <c r="N44" s="16"/>
      <c r="O44" s="16"/>
      <c r="P44" s="16"/>
      <c r="Q44" s="16" t="s">
        <v>4</v>
      </c>
      <c r="R44" s="16"/>
      <c r="S44" s="16"/>
      <c r="T44" s="16" t="s">
        <v>4</v>
      </c>
      <c r="U44" s="16"/>
      <c r="V44" s="16" t="s">
        <v>4</v>
      </c>
      <c r="W44" s="16"/>
      <c r="X44" s="16"/>
      <c r="Y44" s="16"/>
      <c r="Z44" s="16" t="s">
        <v>4</v>
      </c>
      <c r="AA44" s="20"/>
      <c r="AB44" s="16"/>
      <c r="AC44" s="16"/>
      <c r="AD44" s="20"/>
      <c r="AF44" s="20"/>
      <c r="AH44" s="20"/>
      <c r="AI44" s="20"/>
      <c r="AJ44" s="16"/>
      <c r="AK44" s="16" t="s">
        <v>4</v>
      </c>
      <c r="AL44" s="20"/>
      <c r="AM44" s="20"/>
      <c r="AN44" s="16"/>
      <c r="AO44" s="16"/>
      <c r="AP44" s="20"/>
      <c r="AQ44" s="16"/>
      <c r="AR44" s="16"/>
      <c r="AS44" s="20"/>
      <c r="AT44" s="16"/>
      <c r="AU44" s="16" t="s">
        <v>4</v>
      </c>
      <c r="AV44" s="16"/>
      <c r="AW44" s="16"/>
      <c r="AX44" s="16"/>
      <c r="AY44" s="18"/>
      <c r="AZ44" s="16"/>
      <c r="BA44" s="16"/>
      <c r="BB44" s="16"/>
      <c r="BC44" s="16"/>
    </row>
    <row r="45" ht="14.25" customHeight="1">
      <c r="A45" s="21"/>
      <c r="B45" s="28" t="s">
        <v>50</v>
      </c>
      <c r="C45" s="30" t="s">
        <v>30</v>
      </c>
      <c r="D45" s="20"/>
      <c r="E45" s="20"/>
      <c r="F45" s="20"/>
      <c r="G45" s="16"/>
      <c r="H45" s="20"/>
      <c r="I45" s="16"/>
      <c r="J45" s="16" t="s">
        <v>4</v>
      </c>
      <c r="K45" s="20"/>
      <c r="L45" s="16"/>
      <c r="M45" s="16" t="s">
        <v>4</v>
      </c>
      <c r="N45" s="16" t="s">
        <v>4</v>
      </c>
      <c r="O45" s="16"/>
      <c r="P45" s="16"/>
      <c r="Q45" s="16"/>
      <c r="R45" s="16"/>
      <c r="S45" s="16"/>
      <c r="T45" s="16"/>
      <c r="U45" s="16"/>
      <c r="V45" s="16"/>
      <c r="W45" s="16" t="s">
        <v>4</v>
      </c>
      <c r="X45" s="16"/>
      <c r="Y45" s="16"/>
      <c r="Z45" s="16"/>
      <c r="AA45" s="20"/>
      <c r="AB45" s="16" t="s">
        <v>4</v>
      </c>
      <c r="AC45" s="16"/>
      <c r="AD45" s="20"/>
      <c r="AF45" s="20"/>
      <c r="AH45" s="20"/>
      <c r="AI45" s="20"/>
      <c r="AJ45" s="16"/>
      <c r="AK45" s="16"/>
      <c r="AL45" s="16" t="s">
        <v>4</v>
      </c>
      <c r="AM45" s="20"/>
      <c r="AN45" s="16"/>
      <c r="AO45" s="16"/>
      <c r="AP45" s="20"/>
      <c r="AQ45" s="16"/>
      <c r="AR45" s="16"/>
      <c r="AS45" s="20"/>
      <c r="AT45" s="16"/>
      <c r="AU45" s="16" t="s">
        <v>4</v>
      </c>
      <c r="AV45" s="16"/>
      <c r="AW45" s="16"/>
      <c r="AX45" s="16"/>
      <c r="AY45" s="18"/>
      <c r="AZ45" s="16"/>
      <c r="BA45" s="16"/>
      <c r="BB45" s="16"/>
      <c r="BC45" s="16"/>
    </row>
    <row r="46">
      <c r="A46" s="31" t="s">
        <v>51</v>
      </c>
      <c r="B46" s="32" t="s">
        <v>52</v>
      </c>
      <c r="C46" s="9" t="s">
        <v>53</v>
      </c>
      <c r="D46" s="8" t="s">
        <v>4</v>
      </c>
      <c r="E46" s="8" t="s">
        <v>4</v>
      </c>
      <c r="F46" s="8"/>
      <c r="G46" s="8" t="s">
        <v>4</v>
      </c>
      <c r="H46" s="8" t="s">
        <v>4</v>
      </c>
      <c r="I46" s="8" t="s">
        <v>4</v>
      </c>
      <c r="J46" s="8" t="s">
        <v>4</v>
      </c>
      <c r="K46" s="8"/>
      <c r="L46" s="8" t="s">
        <v>4</v>
      </c>
      <c r="M46" s="8" t="s">
        <v>4</v>
      </c>
      <c r="N46" s="8"/>
      <c r="O46" s="8"/>
      <c r="P46" s="8" t="s">
        <v>4</v>
      </c>
      <c r="Q46" s="8" t="s">
        <v>4</v>
      </c>
      <c r="R46" s="8" t="s">
        <v>4</v>
      </c>
      <c r="S46" s="8"/>
      <c r="T46" s="8" t="s">
        <v>4</v>
      </c>
      <c r="U46" s="8" t="s">
        <v>4</v>
      </c>
      <c r="V46" s="8" t="s">
        <v>4</v>
      </c>
      <c r="W46" s="8" t="s">
        <v>4</v>
      </c>
      <c r="X46" s="8" t="s">
        <v>4</v>
      </c>
      <c r="Y46" s="8" t="s">
        <v>4</v>
      </c>
      <c r="Z46" s="8"/>
      <c r="AA46" s="10"/>
      <c r="AB46" s="8"/>
      <c r="AC46" s="8"/>
      <c r="AD46" s="8"/>
      <c r="AF46" s="8" t="s">
        <v>4</v>
      </c>
      <c r="AH46" s="8" t="s">
        <v>4</v>
      </c>
      <c r="AI46" s="8"/>
      <c r="AJ46" s="8"/>
      <c r="AK46" s="8" t="s">
        <v>4</v>
      </c>
      <c r="AL46" s="8"/>
      <c r="AM46" s="8" t="s">
        <v>4</v>
      </c>
      <c r="AN46" s="8"/>
      <c r="AO46" s="8" t="s">
        <v>4</v>
      </c>
      <c r="AP46" s="10"/>
      <c r="AQ46" s="10"/>
      <c r="AR46" s="10"/>
      <c r="AS46" s="8"/>
      <c r="AT46" s="8"/>
      <c r="AU46" s="8" t="s">
        <v>4</v>
      </c>
      <c r="AV46" s="10"/>
      <c r="AW46" s="10"/>
      <c r="AX46" s="10"/>
      <c r="AY46" s="33"/>
      <c r="AZ46" s="8"/>
      <c r="BA46" s="10"/>
      <c r="BB46" s="10"/>
      <c r="BC46" s="10"/>
    </row>
    <row r="47">
      <c r="A47" s="15"/>
      <c r="B47" s="19" t="s">
        <v>54</v>
      </c>
      <c r="C47" s="17" t="s">
        <v>53</v>
      </c>
      <c r="D47" s="16"/>
      <c r="E47" s="16" t="s">
        <v>4</v>
      </c>
      <c r="F47" s="16"/>
      <c r="G47" s="16"/>
      <c r="H47" s="16"/>
      <c r="I47" s="16"/>
      <c r="J47" s="16"/>
      <c r="K47" s="16"/>
      <c r="L47" s="16"/>
      <c r="M47" s="16"/>
      <c r="N47" s="16" t="s">
        <v>4</v>
      </c>
      <c r="O47" s="16"/>
      <c r="P47" s="16" t="s">
        <v>4</v>
      </c>
      <c r="Q47" s="16" t="s">
        <v>4</v>
      </c>
      <c r="R47" s="16" t="s">
        <v>4</v>
      </c>
      <c r="S47" s="16" t="s">
        <v>4</v>
      </c>
      <c r="T47" s="16" t="s">
        <v>4</v>
      </c>
      <c r="U47" s="16"/>
      <c r="V47" s="16" t="s">
        <v>4</v>
      </c>
      <c r="W47" s="16" t="s">
        <v>4</v>
      </c>
      <c r="X47" s="16"/>
      <c r="Y47" s="16"/>
      <c r="Z47" s="16" t="s">
        <v>4</v>
      </c>
      <c r="AA47" s="20"/>
      <c r="AB47" s="16" t="s">
        <v>4</v>
      </c>
      <c r="AC47" s="16"/>
      <c r="AD47" s="16" t="s">
        <v>4</v>
      </c>
      <c r="AF47" s="20"/>
      <c r="AH47" s="16"/>
      <c r="AI47" s="16" t="s">
        <v>4</v>
      </c>
      <c r="AJ47" s="16" t="s">
        <v>4</v>
      </c>
      <c r="AK47" s="16" t="s">
        <v>4</v>
      </c>
      <c r="AL47" s="20"/>
      <c r="AM47" s="20"/>
      <c r="AN47" s="16" t="s">
        <v>4</v>
      </c>
      <c r="AO47" s="16"/>
      <c r="AP47" s="20"/>
      <c r="AQ47" s="16"/>
      <c r="AR47" s="16"/>
      <c r="AS47" s="16" t="s">
        <v>4</v>
      </c>
      <c r="AT47" s="16"/>
      <c r="AU47" s="16"/>
      <c r="AV47" s="16"/>
      <c r="AW47" s="16"/>
      <c r="AX47" s="16"/>
      <c r="AY47" s="18"/>
      <c r="AZ47" s="16"/>
      <c r="BA47" s="16"/>
      <c r="BB47" s="16"/>
      <c r="BC47" s="16"/>
    </row>
    <row r="48">
      <c r="A48" s="15"/>
      <c r="B48" s="19" t="s">
        <v>55</v>
      </c>
      <c r="C48" s="17" t="s">
        <v>53</v>
      </c>
      <c r="D48" s="16" t="s">
        <v>4</v>
      </c>
      <c r="E48" s="16"/>
      <c r="F48" s="16"/>
      <c r="G48" s="16"/>
      <c r="H48" s="16"/>
      <c r="I48" s="16"/>
      <c r="J48" s="16"/>
      <c r="K48" s="16"/>
      <c r="L48" s="16"/>
      <c r="M48" s="16" t="s">
        <v>4</v>
      </c>
      <c r="N48" s="16"/>
      <c r="O48" s="16" t="s">
        <v>4</v>
      </c>
      <c r="P48" s="16"/>
      <c r="Q48" s="16" t="s">
        <v>4</v>
      </c>
      <c r="R48" s="16" t="s">
        <v>4</v>
      </c>
      <c r="S48" s="16"/>
      <c r="T48" s="16"/>
      <c r="U48" s="16" t="s">
        <v>4</v>
      </c>
      <c r="V48" s="16" t="s">
        <v>4</v>
      </c>
      <c r="W48" s="16" t="s">
        <v>4</v>
      </c>
      <c r="X48" s="16"/>
      <c r="Y48" s="16" t="s">
        <v>4</v>
      </c>
      <c r="Z48" s="16" t="s">
        <v>4</v>
      </c>
      <c r="AA48" s="16"/>
      <c r="AB48" s="16" t="s">
        <v>4</v>
      </c>
      <c r="AC48" s="16" t="s">
        <v>4</v>
      </c>
      <c r="AD48" s="16" t="s">
        <v>4</v>
      </c>
      <c r="AF48" s="16"/>
      <c r="AH48" s="16" t="s">
        <v>4</v>
      </c>
      <c r="AI48" s="16"/>
      <c r="AJ48" s="16"/>
      <c r="AK48" s="16"/>
      <c r="AL48" s="16" t="s">
        <v>4</v>
      </c>
      <c r="AM48" s="16"/>
      <c r="AN48" s="16"/>
      <c r="AO48" s="16" t="s">
        <v>4</v>
      </c>
      <c r="AP48" s="16"/>
      <c r="AQ48" s="16"/>
      <c r="AR48" s="16"/>
      <c r="AS48" s="16"/>
      <c r="AT48" s="16" t="s">
        <v>4</v>
      </c>
      <c r="AU48" s="16"/>
      <c r="AV48" s="16"/>
      <c r="AW48" s="16"/>
      <c r="AX48" s="16"/>
      <c r="AY48" s="18"/>
      <c r="AZ48" s="16"/>
      <c r="BA48" s="16"/>
      <c r="BB48" s="16"/>
      <c r="BC48" s="16"/>
    </row>
    <row r="49">
      <c r="A49" s="15"/>
      <c r="B49" s="34" t="s">
        <v>56</v>
      </c>
      <c r="C49" s="17" t="s">
        <v>53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20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F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8"/>
      <c r="AZ49" s="16"/>
      <c r="BA49" s="16"/>
      <c r="BB49" s="16"/>
      <c r="BC49" s="16"/>
    </row>
    <row r="50">
      <c r="A50" s="15"/>
      <c r="B50" s="34" t="s">
        <v>57</v>
      </c>
      <c r="C50" s="17" t="s">
        <v>58</v>
      </c>
      <c r="D50" s="16"/>
      <c r="E50" s="20"/>
      <c r="F50" s="20"/>
      <c r="G50" s="20"/>
      <c r="H50" s="16"/>
      <c r="I50" s="20"/>
      <c r="J50" s="20"/>
      <c r="K50" s="20"/>
      <c r="L50" s="16"/>
      <c r="M50" s="20"/>
      <c r="N50" s="20"/>
      <c r="O50" s="20"/>
      <c r="P50" s="20"/>
      <c r="Q50" s="20"/>
      <c r="R50" s="20"/>
      <c r="S50" s="20"/>
      <c r="T50" s="20"/>
      <c r="U50" s="16"/>
      <c r="V50" s="20"/>
      <c r="W50" s="16"/>
      <c r="X50" s="20"/>
      <c r="Y50" s="16"/>
      <c r="Z50" s="20"/>
      <c r="AA50" s="16"/>
      <c r="AB50" s="16"/>
      <c r="AC50" s="16"/>
      <c r="AD50" s="16"/>
      <c r="AF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8"/>
      <c r="AZ50" s="16"/>
      <c r="BA50" s="16"/>
      <c r="BB50" s="16"/>
      <c r="BC50" s="16"/>
    </row>
    <row r="51">
      <c r="A51" s="15"/>
      <c r="B51" s="16" t="s">
        <v>59</v>
      </c>
      <c r="C51" s="17" t="s">
        <v>53</v>
      </c>
      <c r="D51" s="16"/>
      <c r="E51" s="20"/>
      <c r="F51" s="16" t="s">
        <v>4</v>
      </c>
      <c r="G51" s="16" t="s">
        <v>4</v>
      </c>
      <c r="H51" s="16"/>
      <c r="I51" s="20"/>
      <c r="J51" s="20"/>
      <c r="K51" s="20"/>
      <c r="L51" s="16" t="s">
        <v>4</v>
      </c>
      <c r="M51" s="16" t="s">
        <v>4</v>
      </c>
      <c r="N51" s="20"/>
      <c r="O51" s="16" t="s">
        <v>4</v>
      </c>
      <c r="P51" s="20"/>
      <c r="Q51" s="20"/>
      <c r="R51" s="20"/>
      <c r="S51" s="16" t="s">
        <v>4</v>
      </c>
      <c r="T51" s="16"/>
      <c r="U51" s="16"/>
      <c r="V51" s="20"/>
      <c r="W51" s="16"/>
      <c r="X51" s="16"/>
      <c r="Y51" s="16"/>
      <c r="Z51" s="20"/>
      <c r="AA51" s="16" t="s">
        <v>4</v>
      </c>
      <c r="AB51" s="16"/>
      <c r="AC51" s="16"/>
      <c r="AD51" s="16"/>
      <c r="AF51" s="16"/>
      <c r="AH51" s="16"/>
      <c r="AI51" s="16"/>
      <c r="AJ51" s="16"/>
      <c r="AK51" s="16"/>
      <c r="AL51" s="16"/>
      <c r="AM51" s="16" t="s">
        <v>4</v>
      </c>
      <c r="AN51" s="16"/>
      <c r="AO51" s="16" t="s">
        <v>4</v>
      </c>
      <c r="AP51" s="16"/>
      <c r="AQ51" s="16"/>
      <c r="AR51" s="16"/>
      <c r="AS51" s="16"/>
      <c r="AT51" s="16"/>
      <c r="AU51" s="16"/>
      <c r="AV51" s="16"/>
      <c r="AW51" s="16"/>
      <c r="AX51" s="16"/>
      <c r="AY51" s="18"/>
      <c r="AZ51" s="16"/>
      <c r="BA51" s="16"/>
      <c r="BB51" s="16"/>
      <c r="BC51" s="16"/>
    </row>
    <row r="52">
      <c r="A52" s="15"/>
      <c r="B52" s="34" t="s">
        <v>60</v>
      </c>
      <c r="C52" s="17" t="s">
        <v>58</v>
      </c>
      <c r="D52" s="16"/>
      <c r="E52" s="20"/>
      <c r="F52" s="20"/>
      <c r="G52" s="20"/>
      <c r="H52" s="16"/>
      <c r="I52" s="20"/>
      <c r="J52" s="20"/>
      <c r="K52" s="20"/>
      <c r="L52" s="16"/>
      <c r="M52" s="20"/>
      <c r="N52" s="20"/>
      <c r="O52" s="20"/>
      <c r="P52" s="20"/>
      <c r="Q52" s="20"/>
      <c r="R52" s="20"/>
      <c r="S52" s="16"/>
      <c r="T52" s="16"/>
      <c r="U52" s="16"/>
      <c r="V52" s="20"/>
      <c r="W52" s="16"/>
      <c r="X52" s="16"/>
      <c r="Y52" s="16"/>
      <c r="Z52" s="20"/>
      <c r="AA52" s="16"/>
      <c r="AB52" s="16"/>
      <c r="AC52" s="16"/>
      <c r="AD52" s="16"/>
      <c r="AF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8"/>
      <c r="AZ52" s="16"/>
      <c r="BA52" s="16"/>
      <c r="BB52" s="16"/>
      <c r="BC52" s="16"/>
    </row>
    <row r="53">
      <c r="A53" s="15"/>
      <c r="B53" s="34" t="s">
        <v>61</v>
      </c>
      <c r="C53" s="17" t="s">
        <v>53</v>
      </c>
      <c r="D53" s="16"/>
      <c r="E53" s="20"/>
      <c r="F53" s="20"/>
      <c r="G53" s="20"/>
      <c r="H53" s="16"/>
      <c r="I53" s="20"/>
      <c r="J53" s="20"/>
      <c r="K53" s="20"/>
      <c r="L53" s="16"/>
      <c r="M53" s="20"/>
      <c r="N53" s="20"/>
      <c r="O53" s="16"/>
      <c r="P53" s="20"/>
      <c r="Q53" s="20"/>
      <c r="R53" s="20"/>
      <c r="S53" s="20"/>
      <c r="T53" s="20"/>
      <c r="U53" s="20"/>
      <c r="V53" s="20"/>
      <c r="W53" s="20"/>
      <c r="X53" s="20"/>
      <c r="Y53" s="16"/>
      <c r="Z53" s="20"/>
      <c r="AA53" s="16"/>
      <c r="AB53" s="16"/>
      <c r="AC53" s="16"/>
      <c r="AD53" s="16"/>
      <c r="AF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8"/>
      <c r="AZ53" s="16"/>
      <c r="BA53" s="16"/>
      <c r="BB53" s="16"/>
      <c r="BC53" s="16"/>
    </row>
    <row r="54">
      <c r="A54" s="15"/>
      <c r="B54" s="34" t="s">
        <v>62</v>
      </c>
      <c r="C54" s="17" t="s">
        <v>53</v>
      </c>
      <c r="D54" s="16"/>
      <c r="E54" s="20"/>
      <c r="F54" s="20"/>
      <c r="G54" s="20"/>
      <c r="H54" s="16"/>
      <c r="I54" s="20"/>
      <c r="J54" s="20"/>
      <c r="K54" s="20"/>
      <c r="L54" s="16"/>
      <c r="M54" s="20"/>
      <c r="N54" s="20"/>
      <c r="O54" s="16"/>
      <c r="P54" s="20"/>
      <c r="Q54" s="20"/>
      <c r="R54" s="20"/>
      <c r="S54" s="20"/>
      <c r="T54" s="20"/>
      <c r="U54" s="20"/>
      <c r="V54" s="20"/>
      <c r="W54" s="20"/>
      <c r="X54" s="20"/>
      <c r="Y54" s="16"/>
      <c r="Z54" s="20"/>
      <c r="AA54" s="16"/>
      <c r="AB54" s="16"/>
      <c r="AC54" s="16"/>
      <c r="AD54" s="16"/>
      <c r="AF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8"/>
      <c r="AZ54" s="16"/>
      <c r="BA54" s="16"/>
      <c r="BB54" s="16"/>
      <c r="BC54" s="16"/>
    </row>
    <row r="55">
      <c r="A55" s="15"/>
      <c r="B55" s="16" t="s">
        <v>63</v>
      </c>
      <c r="C55" s="17" t="s">
        <v>53</v>
      </c>
      <c r="D55" s="16" t="s">
        <v>4</v>
      </c>
      <c r="E55" s="16" t="s">
        <v>4</v>
      </c>
      <c r="F55" s="20"/>
      <c r="G55" s="16"/>
      <c r="H55" s="16"/>
      <c r="I55" s="16" t="s">
        <v>4</v>
      </c>
      <c r="J55" s="16" t="s">
        <v>4</v>
      </c>
      <c r="K55" s="20"/>
      <c r="L55" s="16" t="s">
        <v>4</v>
      </c>
      <c r="M55" s="16" t="s">
        <v>4</v>
      </c>
      <c r="N55" s="20"/>
      <c r="O55" s="16" t="s">
        <v>4</v>
      </c>
      <c r="P55" s="16"/>
      <c r="Q55" s="16" t="s">
        <v>4</v>
      </c>
      <c r="R55" s="16" t="s">
        <v>4</v>
      </c>
      <c r="S55" s="16"/>
      <c r="T55" s="16"/>
      <c r="U55" s="16"/>
      <c r="V55" s="16"/>
      <c r="W55" s="16"/>
      <c r="X55" s="20"/>
      <c r="Y55" s="16"/>
      <c r="Z55" s="16"/>
      <c r="AA55" s="16"/>
      <c r="AB55" s="16"/>
      <c r="AC55" s="16"/>
      <c r="AD55" s="16"/>
      <c r="AF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8"/>
      <c r="AZ55" s="16"/>
      <c r="BA55" s="16"/>
      <c r="BB55" s="16"/>
      <c r="BC55" s="16"/>
    </row>
    <row r="56">
      <c r="A56" s="15"/>
      <c r="B56" s="16" t="s">
        <v>64</v>
      </c>
      <c r="C56" s="17" t="s">
        <v>53</v>
      </c>
      <c r="D56" s="16" t="s">
        <v>4</v>
      </c>
      <c r="E56" s="16" t="s">
        <v>4</v>
      </c>
      <c r="F56" s="16" t="s">
        <v>4</v>
      </c>
      <c r="G56" s="16" t="s">
        <v>4</v>
      </c>
      <c r="H56" s="16"/>
      <c r="I56" s="16" t="s">
        <v>4</v>
      </c>
      <c r="J56" s="16" t="s">
        <v>4</v>
      </c>
      <c r="K56" s="16" t="s">
        <v>4</v>
      </c>
      <c r="L56" s="16" t="s">
        <v>4</v>
      </c>
      <c r="M56" s="16" t="s">
        <v>4</v>
      </c>
      <c r="N56" s="16" t="s">
        <v>4</v>
      </c>
      <c r="O56" s="16" t="s">
        <v>4</v>
      </c>
      <c r="P56" s="16" t="s">
        <v>4</v>
      </c>
      <c r="Q56" s="16" t="s">
        <v>4</v>
      </c>
      <c r="R56" s="16" t="s">
        <v>4</v>
      </c>
      <c r="S56" s="16" t="s">
        <v>4</v>
      </c>
      <c r="T56" s="16"/>
      <c r="U56" s="16" t="s">
        <v>4</v>
      </c>
      <c r="V56" s="16"/>
      <c r="W56" s="16" t="s">
        <v>4</v>
      </c>
      <c r="X56" s="16" t="s">
        <v>4</v>
      </c>
      <c r="Y56" s="16" t="s">
        <v>4</v>
      </c>
      <c r="Z56" s="16"/>
      <c r="AA56" s="16" t="s">
        <v>4</v>
      </c>
      <c r="AB56" s="16" t="s">
        <v>4</v>
      </c>
      <c r="AC56" s="16"/>
      <c r="AD56" s="16"/>
      <c r="AF56" s="16"/>
      <c r="AH56" s="16" t="s">
        <v>4</v>
      </c>
      <c r="AI56" s="16" t="s">
        <v>4</v>
      </c>
      <c r="AJ56" s="16" t="s">
        <v>4</v>
      </c>
      <c r="AK56" s="16" t="s">
        <v>4</v>
      </c>
      <c r="AL56" s="16"/>
      <c r="AM56" s="16" t="s">
        <v>4</v>
      </c>
      <c r="AN56" s="16"/>
      <c r="AO56" s="16"/>
      <c r="AP56" s="16"/>
      <c r="AQ56" s="16"/>
      <c r="AR56" s="16"/>
      <c r="AS56" s="16" t="s">
        <v>4</v>
      </c>
      <c r="AT56" s="16" t="s">
        <v>4</v>
      </c>
      <c r="AU56" s="16" t="s">
        <v>4</v>
      </c>
      <c r="AV56" s="16"/>
      <c r="AW56" s="16"/>
      <c r="AX56" s="16"/>
      <c r="AY56" s="18"/>
      <c r="AZ56" s="16"/>
      <c r="BA56" s="16"/>
      <c r="BB56" s="16"/>
      <c r="BC56" s="16"/>
    </row>
    <row r="57">
      <c r="A57" s="15"/>
      <c r="B57" s="16" t="s">
        <v>65</v>
      </c>
      <c r="C57" s="17" t="s">
        <v>53</v>
      </c>
      <c r="D57" s="16" t="s">
        <v>4</v>
      </c>
      <c r="E57" s="16" t="s">
        <v>4</v>
      </c>
      <c r="F57" s="20"/>
      <c r="G57" s="16" t="s">
        <v>4</v>
      </c>
      <c r="H57" s="16" t="s">
        <v>4</v>
      </c>
      <c r="I57" s="20"/>
      <c r="J57" s="16" t="s">
        <v>4</v>
      </c>
      <c r="K57" s="16" t="s">
        <v>4</v>
      </c>
      <c r="L57" s="16" t="s">
        <v>4</v>
      </c>
      <c r="M57" s="16" t="s">
        <v>4</v>
      </c>
      <c r="N57" s="16" t="s">
        <v>4</v>
      </c>
      <c r="O57" s="16" t="s">
        <v>4</v>
      </c>
      <c r="P57" s="16"/>
      <c r="Q57" s="16" t="s">
        <v>4</v>
      </c>
      <c r="R57" s="16"/>
      <c r="S57" s="16" t="s">
        <v>4</v>
      </c>
      <c r="T57" s="16" t="s">
        <v>4</v>
      </c>
      <c r="U57" s="16" t="s">
        <v>4</v>
      </c>
      <c r="V57" s="16" t="s">
        <v>4</v>
      </c>
      <c r="W57" s="16" t="s">
        <v>4</v>
      </c>
      <c r="X57" s="20"/>
      <c r="Y57" s="16" t="s">
        <v>4</v>
      </c>
      <c r="Z57" s="16" t="s">
        <v>4</v>
      </c>
      <c r="AA57" s="16" t="s">
        <v>4</v>
      </c>
      <c r="AB57" s="16" t="s">
        <v>4</v>
      </c>
      <c r="AC57" s="16" t="s">
        <v>4</v>
      </c>
      <c r="AD57" s="16" t="s">
        <v>4</v>
      </c>
      <c r="AF57" s="16" t="s">
        <v>4</v>
      </c>
      <c r="AH57" s="16" t="s">
        <v>4</v>
      </c>
      <c r="AI57" s="16" t="s">
        <v>4</v>
      </c>
      <c r="AJ57" s="16" t="s">
        <v>4</v>
      </c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8"/>
      <c r="AZ57" s="16"/>
      <c r="BA57" s="16"/>
      <c r="BB57" s="16"/>
      <c r="BC57" s="16"/>
    </row>
    <row r="58">
      <c r="A58" s="15"/>
      <c r="B58" s="35" t="s">
        <v>66</v>
      </c>
      <c r="C58" s="17" t="s">
        <v>58</v>
      </c>
      <c r="D58" s="16"/>
      <c r="E58" s="20"/>
      <c r="F58" s="20"/>
      <c r="G58" s="20"/>
      <c r="H58" s="16"/>
      <c r="I58" s="20"/>
      <c r="J58" s="20"/>
      <c r="K58" s="20"/>
      <c r="L58" s="16"/>
      <c r="M58" s="20"/>
      <c r="N58" s="20"/>
      <c r="O58" s="16"/>
      <c r="P58" s="16"/>
      <c r="Q58" s="20"/>
      <c r="R58" s="16"/>
      <c r="S58" s="16"/>
      <c r="T58" s="16"/>
      <c r="U58" s="16"/>
      <c r="V58" s="16"/>
      <c r="W58" s="20"/>
      <c r="X58" s="20"/>
      <c r="Y58" s="16"/>
      <c r="Z58" s="20"/>
      <c r="AA58" s="16"/>
      <c r="AB58" s="16"/>
      <c r="AC58" s="16"/>
      <c r="AD58" s="16"/>
      <c r="AF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8"/>
      <c r="AZ58" s="16"/>
      <c r="BA58" s="16"/>
      <c r="BB58" s="16"/>
      <c r="BC58" s="16"/>
    </row>
    <row r="59">
      <c r="A59" s="15"/>
      <c r="B59" s="35" t="s">
        <v>67</v>
      </c>
      <c r="C59" s="17" t="s">
        <v>58</v>
      </c>
      <c r="D59" s="16"/>
      <c r="E59" s="20"/>
      <c r="F59" s="20"/>
      <c r="G59" s="20"/>
      <c r="H59" s="16"/>
      <c r="I59" s="20"/>
      <c r="J59" s="20"/>
      <c r="K59" s="20"/>
      <c r="L59" s="16"/>
      <c r="M59" s="20"/>
      <c r="N59" s="20"/>
      <c r="O59" s="16"/>
      <c r="P59" s="16"/>
      <c r="Q59" s="20"/>
      <c r="R59" s="16"/>
      <c r="S59" s="16"/>
      <c r="T59" s="16"/>
      <c r="U59" s="16"/>
      <c r="V59" s="16"/>
      <c r="W59" s="20"/>
      <c r="X59" s="20"/>
      <c r="Y59" s="16"/>
      <c r="Z59" s="20"/>
      <c r="AA59" s="16"/>
      <c r="AB59" s="16"/>
      <c r="AC59" s="16"/>
      <c r="AD59" s="16"/>
      <c r="AF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8"/>
      <c r="AZ59" s="16"/>
      <c r="BA59" s="16"/>
      <c r="BB59" s="16"/>
      <c r="BC59" s="16"/>
    </row>
    <row r="60">
      <c r="A60" s="15"/>
      <c r="B60" s="16" t="s">
        <v>68</v>
      </c>
      <c r="C60" s="17" t="s">
        <v>53</v>
      </c>
      <c r="D60" s="16" t="s">
        <v>4</v>
      </c>
      <c r="E60" s="16" t="s">
        <v>4</v>
      </c>
      <c r="F60" s="16" t="s">
        <v>4</v>
      </c>
      <c r="G60" s="20"/>
      <c r="H60" s="16" t="s">
        <v>4</v>
      </c>
      <c r="I60" s="20"/>
      <c r="J60" s="16" t="s">
        <v>4</v>
      </c>
      <c r="K60" s="20"/>
      <c r="L60" s="16" t="s">
        <v>4</v>
      </c>
      <c r="M60" s="20"/>
      <c r="N60" s="20"/>
      <c r="O60" s="16" t="s">
        <v>4</v>
      </c>
      <c r="P60" s="16" t="s">
        <v>4</v>
      </c>
      <c r="Q60" s="20"/>
      <c r="R60" s="16"/>
      <c r="S60" s="16" t="s">
        <v>4</v>
      </c>
      <c r="T60" s="16"/>
      <c r="U60" s="16"/>
      <c r="V60" s="16"/>
      <c r="W60" s="20"/>
      <c r="X60" s="20"/>
      <c r="Y60" s="16"/>
      <c r="Z60" s="16" t="s">
        <v>4</v>
      </c>
      <c r="AA60" s="16" t="s">
        <v>4</v>
      </c>
      <c r="AB60" s="16" t="s">
        <v>4</v>
      </c>
      <c r="AC60" s="16" t="s">
        <v>4</v>
      </c>
      <c r="AD60" s="16"/>
      <c r="AF60" s="16" t="s">
        <v>4</v>
      </c>
      <c r="AH60" s="16" t="s">
        <v>4</v>
      </c>
      <c r="AI60" s="16"/>
      <c r="AJ60" s="16"/>
      <c r="AK60" s="16" t="s">
        <v>4</v>
      </c>
      <c r="AL60" s="16" t="s">
        <v>4</v>
      </c>
      <c r="AM60" s="16" t="s">
        <v>4</v>
      </c>
      <c r="AN60" s="16" t="s">
        <v>4</v>
      </c>
      <c r="AO60" s="16" t="s">
        <v>4</v>
      </c>
      <c r="AP60" s="16"/>
      <c r="AQ60" s="16"/>
      <c r="AR60" s="16"/>
      <c r="AS60" s="16"/>
      <c r="AT60" s="16"/>
      <c r="AU60" s="16"/>
      <c r="AV60" s="16"/>
      <c r="AW60" s="16"/>
      <c r="AX60" s="16"/>
      <c r="AY60" s="18"/>
      <c r="AZ60" s="16"/>
      <c r="BA60" s="16"/>
      <c r="BB60" s="16"/>
      <c r="BC60" s="16"/>
    </row>
    <row r="61">
      <c r="A61" s="15"/>
      <c r="B61" s="16" t="s">
        <v>69</v>
      </c>
      <c r="C61" s="17" t="s">
        <v>53</v>
      </c>
      <c r="D61" s="16" t="s">
        <v>4</v>
      </c>
      <c r="E61" s="20"/>
      <c r="F61" s="16" t="s">
        <v>4</v>
      </c>
      <c r="G61" s="20"/>
      <c r="H61" s="16" t="s">
        <v>4</v>
      </c>
      <c r="I61" s="20"/>
      <c r="J61" s="16" t="s">
        <v>4</v>
      </c>
      <c r="K61" s="20"/>
      <c r="L61" s="16" t="s">
        <v>4</v>
      </c>
      <c r="M61" s="16"/>
      <c r="N61" s="20"/>
      <c r="O61" s="16"/>
      <c r="P61" s="16"/>
      <c r="Q61" s="20"/>
      <c r="R61" s="16" t="s">
        <v>4</v>
      </c>
      <c r="S61" s="16"/>
      <c r="T61" s="16"/>
      <c r="U61" s="16" t="s">
        <v>4</v>
      </c>
      <c r="V61" s="16"/>
      <c r="W61" s="16" t="s">
        <v>4</v>
      </c>
      <c r="X61" s="16" t="s">
        <v>4</v>
      </c>
      <c r="Y61" s="16" t="s">
        <v>4</v>
      </c>
      <c r="Z61" s="16" t="s">
        <v>4</v>
      </c>
      <c r="AA61" s="16" t="s">
        <v>4</v>
      </c>
      <c r="AB61" s="16"/>
      <c r="AC61" s="16"/>
      <c r="AD61" s="16"/>
      <c r="AF61" s="16"/>
      <c r="AH61" s="16"/>
      <c r="AI61" s="16" t="s">
        <v>4</v>
      </c>
      <c r="AJ61" s="16" t="s">
        <v>4</v>
      </c>
      <c r="AK61" s="16" t="s">
        <v>4</v>
      </c>
      <c r="AL61" s="16" t="s">
        <v>4</v>
      </c>
      <c r="AM61" s="16"/>
      <c r="AN61" s="16" t="s">
        <v>4</v>
      </c>
      <c r="AO61" s="16" t="s">
        <v>4</v>
      </c>
      <c r="AP61" s="16"/>
      <c r="AQ61" s="16"/>
      <c r="AR61" s="16" t="s">
        <v>4</v>
      </c>
      <c r="AS61" s="16" t="s">
        <v>4</v>
      </c>
      <c r="AT61" s="16" t="s">
        <v>4</v>
      </c>
      <c r="AU61" s="16" t="s">
        <v>4</v>
      </c>
      <c r="AV61" s="16"/>
      <c r="AW61" s="16"/>
      <c r="AX61" s="16"/>
      <c r="AY61" s="18"/>
      <c r="AZ61" s="16"/>
      <c r="BA61" s="16"/>
      <c r="BB61" s="16"/>
      <c r="BC61" s="16"/>
    </row>
    <row r="62">
      <c r="A62" s="15"/>
      <c r="B62" s="16" t="s">
        <v>70</v>
      </c>
      <c r="C62" s="17" t="s">
        <v>53</v>
      </c>
      <c r="D62" s="16" t="s">
        <v>4</v>
      </c>
      <c r="E62" s="16" t="s">
        <v>4</v>
      </c>
      <c r="F62" s="16" t="s">
        <v>4</v>
      </c>
      <c r="G62" s="16" t="s">
        <v>4</v>
      </c>
      <c r="H62" s="16" t="s">
        <v>4</v>
      </c>
      <c r="I62" s="20"/>
      <c r="J62" s="16" t="s">
        <v>4</v>
      </c>
      <c r="K62" s="16" t="s">
        <v>4</v>
      </c>
      <c r="L62" s="16" t="s">
        <v>4</v>
      </c>
      <c r="M62" s="16" t="s">
        <v>4</v>
      </c>
      <c r="N62" s="16" t="s">
        <v>4</v>
      </c>
      <c r="O62" s="16" t="s">
        <v>4</v>
      </c>
      <c r="P62" s="16" t="s">
        <v>4</v>
      </c>
      <c r="Q62" s="16" t="s">
        <v>4</v>
      </c>
      <c r="R62" s="16"/>
      <c r="S62" s="16" t="s">
        <v>4</v>
      </c>
      <c r="T62" s="16" t="s">
        <v>4</v>
      </c>
      <c r="U62" s="16" t="s">
        <v>4</v>
      </c>
      <c r="V62" s="16" t="s">
        <v>4</v>
      </c>
      <c r="W62" s="16" t="s">
        <v>4</v>
      </c>
      <c r="X62" s="20"/>
      <c r="Y62" s="16" t="s">
        <v>4</v>
      </c>
      <c r="Z62" s="16"/>
      <c r="AA62" s="16" t="s">
        <v>4</v>
      </c>
      <c r="AB62" s="16" t="s">
        <v>4</v>
      </c>
      <c r="AC62" s="16" t="s">
        <v>4</v>
      </c>
      <c r="AD62" s="16" t="s">
        <v>4</v>
      </c>
      <c r="AF62" s="16"/>
      <c r="AH62" s="16"/>
      <c r="AI62" s="16" t="s">
        <v>4</v>
      </c>
      <c r="AJ62" s="16" t="s">
        <v>4</v>
      </c>
      <c r="AK62" s="16" t="s">
        <v>4</v>
      </c>
      <c r="AL62" s="16" t="s">
        <v>4</v>
      </c>
      <c r="AM62" s="16" t="s">
        <v>4</v>
      </c>
      <c r="AN62" s="16" t="s">
        <v>4</v>
      </c>
      <c r="AO62" s="16"/>
      <c r="AP62" s="16"/>
      <c r="AQ62" s="16"/>
      <c r="AR62" s="16"/>
      <c r="AS62" s="16" t="s">
        <v>4</v>
      </c>
      <c r="AT62" s="16"/>
      <c r="AU62" s="16"/>
      <c r="AV62" s="16"/>
      <c r="AW62" s="16"/>
      <c r="AX62" s="16"/>
      <c r="AY62" s="18"/>
      <c r="AZ62" s="16"/>
      <c r="BA62" s="16"/>
      <c r="BB62" s="16"/>
      <c r="BC62" s="16"/>
    </row>
    <row r="63">
      <c r="A63" s="15"/>
      <c r="B63" s="34" t="s">
        <v>71</v>
      </c>
      <c r="C63" s="17" t="s">
        <v>53</v>
      </c>
      <c r="D63" s="16"/>
      <c r="E63" s="20"/>
      <c r="F63" s="20"/>
      <c r="G63" s="20"/>
      <c r="H63" s="16"/>
      <c r="I63" s="20"/>
      <c r="J63" s="20"/>
      <c r="K63" s="20"/>
      <c r="L63" s="16"/>
      <c r="M63" s="20"/>
      <c r="N63" s="20"/>
      <c r="O63" s="16"/>
      <c r="P63" s="16"/>
      <c r="Q63" s="20"/>
      <c r="R63" s="16"/>
      <c r="S63" s="16"/>
      <c r="T63" s="16"/>
      <c r="U63" s="16"/>
      <c r="V63" s="16"/>
      <c r="W63" s="16"/>
      <c r="X63" s="20"/>
      <c r="Y63" s="16"/>
      <c r="Z63" s="16"/>
      <c r="AA63" s="16"/>
      <c r="AB63" s="16"/>
      <c r="AC63" s="16"/>
      <c r="AD63" s="16"/>
      <c r="AF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8"/>
      <c r="AZ63" s="16"/>
      <c r="BA63" s="16"/>
      <c r="BB63" s="16"/>
      <c r="BC63" s="16"/>
    </row>
    <row r="64">
      <c r="A64" s="15"/>
      <c r="B64" s="34" t="s">
        <v>72</v>
      </c>
      <c r="C64" s="17" t="s">
        <v>53</v>
      </c>
      <c r="D64" s="16"/>
      <c r="E64" s="20"/>
      <c r="F64" s="20"/>
      <c r="G64" s="20"/>
      <c r="H64" s="16"/>
      <c r="I64" s="20"/>
      <c r="J64" s="20"/>
      <c r="K64" s="20"/>
      <c r="L64" s="16"/>
      <c r="M64" s="20"/>
      <c r="N64" s="20"/>
      <c r="O64" s="16"/>
      <c r="P64" s="16"/>
      <c r="Q64" s="20"/>
      <c r="R64" s="16"/>
      <c r="S64" s="16"/>
      <c r="T64" s="16"/>
      <c r="U64" s="16"/>
      <c r="V64" s="16"/>
      <c r="W64" s="16"/>
      <c r="X64" s="20"/>
      <c r="Y64" s="16"/>
      <c r="Z64" s="16"/>
      <c r="AA64" s="16"/>
      <c r="AB64" s="16"/>
      <c r="AC64" s="16"/>
      <c r="AD64" s="16"/>
      <c r="AF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8"/>
      <c r="AZ64" s="16"/>
      <c r="BA64" s="16"/>
      <c r="BB64" s="16"/>
      <c r="BC64" s="16"/>
    </row>
    <row r="65">
      <c r="A65" s="15"/>
      <c r="B65" s="34" t="s">
        <v>73</v>
      </c>
      <c r="C65" s="17" t="s">
        <v>58</v>
      </c>
      <c r="D65" s="16"/>
      <c r="E65" s="20"/>
      <c r="F65" s="20"/>
      <c r="G65" s="20"/>
      <c r="H65" s="16"/>
      <c r="I65" s="20"/>
      <c r="J65" s="20"/>
      <c r="K65" s="20"/>
      <c r="L65" s="16"/>
      <c r="M65" s="20"/>
      <c r="N65" s="20"/>
      <c r="O65" s="16"/>
      <c r="P65" s="16"/>
      <c r="Q65" s="20"/>
      <c r="R65" s="16"/>
      <c r="S65" s="16"/>
      <c r="T65" s="16"/>
      <c r="U65" s="16"/>
      <c r="V65" s="16"/>
      <c r="W65" s="16"/>
      <c r="X65" s="20"/>
      <c r="Y65" s="16"/>
      <c r="Z65" s="16"/>
      <c r="AA65" s="16"/>
      <c r="AB65" s="16"/>
      <c r="AC65" s="16"/>
      <c r="AD65" s="16"/>
      <c r="AF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8"/>
      <c r="AZ65" s="16"/>
      <c r="BA65" s="16"/>
      <c r="BB65" s="16"/>
      <c r="BC65" s="16"/>
    </row>
    <row r="66">
      <c r="A66" s="15"/>
      <c r="B66" s="34" t="s">
        <v>74</v>
      </c>
      <c r="C66" s="17" t="s">
        <v>58</v>
      </c>
      <c r="D66" s="16"/>
      <c r="E66" s="20"/>
      <c r="F66" s="20"/>
      <c r="G66" s="20"/>
      <c r="H66" s="16"/>
      <c r="I66" s="20"/>
      <c r="J66" s="20"/>
      <c r="K66" s="20"/>
      <c r="L66" s="16"/>
      <c r="M66" s="20"/>
      <c r="N66" s="20"/>
      <c r="O66" s="16"/>
      <c r="P66" s="16"/>
      <c r="Q66" s="20"/>
      <c r="R66" s="16"/>
      <c r="S66" s="16"/>
      <c r="T66" s="16"/>
      <c r="U66" s="16"/>
      <c r="V66" s="16"/>
      <c r="W66" s="16"/>
      <c r="X66" s="20"/>
      <c r="Y66" s="16"/>
      <c r="Z66" s="16"/>
      <c r="AA66" s="16"/>
      <c r="AB66" s="16"/>
      <c r="AC66" s="16"/>
      <c r="AD66" s="16"/>
      <c r="AF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8"/>
      <c r="AZ66" s="16"/>
      <c r="BA66" s="16"/>
      <c r="BB66" s="16"/>
      <c r="BC66" s="16"/>
    </row>
    <row r="67">
      <c r="A67" s="15"/>
      <c r="B67" s="35" t="s">
        <v>75</v>
      </c>
      <c r="C67" s="17" t="s">
        <v>58</v>
      </c>
      <c r="D67" s="20"/>
      <c r="E67" s="20"/>
      <c r="F67" s="20"/>
      <c r="G67" s="20"/>
      <c r="H67" s="20"/>
      <c r="I67" s="16"/>
      <c r="J67" s="20"/>
      <c r="K67" s="20"/>
      <c r="L67" s="16"/>
      <c r="M67" s="16"/>
      <c r="N67" s="16"/>
      <c r="O67" s="20"/>
      <c r="P67" s="16"/>
      <c r="Q67" s="16"/>
      <c r="R67" s="16"/>
      <c r="S67" s="16"/>
      <c r="T67" s="20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F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8"/>
      <c r="AZ67" s="16"/>
      <c r="BA67" s="16"/>
      <c r="BB67" s="16"/>
      <c r="BC67" s="16"/>
    </row>
    <row r="68">
      <c r="A68" s="15"/>
      <c r="B68" s="35" t="s">
        <v>76</v>
      </c>
      <c r="C68" s="17" t="s">
        <v>53</v>
      </c>
      <c r="D68" s="20"/>
      <c r="E68" s="16" t="s">
        <v>4</v>
      </c>
      <c r="F68" s="20"/>
      <c r="G68" s="20"/>
      <c r="H68" s="20"/>
      <c r="I68" s="16"/>
      <c r="J68" s="20"/>
      <c r="K68" s="20"/>
      <c r="L68" s="16"/>
      <c r="M68" s="16"/>
      <c r="N68" s="16"/>
      <c r="O68" s="20"/>
      <c r="P68" s="16"/>
      <c r="Q68" s="16"/>
      <c r="R68" s="16"/>
      <c r="S68" s="16"/>
      <c r="T68" s="20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F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8"/>
      <c r="AZ68" s="16"/>
      <c r="BA68" s="16"/>
      <c r="BB68" s="16"/>
      <c r="BC68" s="16"/>
    </row>
    <row r="69">
      <c r="A69" s="15"/>
      <c r="B69" s="35" t="s">
        <v>77</v>
      </c>
      <c r="C69" s="17" t="s">
        <v>53</v>
      </c>
      <c r="D69" s="20"/>
      <c r="E69" s="16" t="s">
        <v>4</v>
      </c>
      <c r="F69" s="20"/>
      <c r="G69" s="20"/>
      <c r="H69" s="20"/>
      <c r="I69" s="16"/>
      <c r="J69" s="20"/>
      <c r="K69" s="20"/>
      <c r="L69" s="16"/>
      <c r="M69" s="16"/>
      <c r="N69" s="16"/>
      <c r="O69" s="20"/>
      <c r="P69" s="16"/>
      <c r="Q69" s="16"/>
      <c r="R69" s="16"/>
      <c r="S69" s="16"/>
      <c r="T69" s="20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F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8"/>
      <c r="AZ69" s="16"/>
      <c r="BA69" s="16"/>
      <c r="BB69" s="16"/>
      <c r="BC69" s="16"/>
    </row>
    <row r="70">
      <c r="A70" s="15"/>
      <c r="B70" s="34" t="s">
        <v>78</v>
      </c>
      <c r="C70" s="17" t="s">
        <v>53</v>
      </c>
      <c r="D70" s="20"/>
      <c r="E70" s="20"/>
      <c r="F70" s="20"/>
      <c r="G70" s="20"/>
      <c r="H70" s="20"/>
      <c r="I70" s="16"/>
      <c r="J70" s="20"/>
      <c r="K70" s="20"/>
      <c r="L70" s="16"/>
      <c r="M70" s="16"/>
      <c r="N70" s="16"/>
      <c r="O70" s="20"/>
      <c r="P70" s="16"/>
      <c r="Q70" s="16"/>
      <c r="R70" s="16"/>
      <c r="S70" s="16"/>
      <c r="T70" s="20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F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8"/>
      <c r="AZ70" s="16"/>
      <c r="BA70" s="16"/>
      <c r="BB70" s="16"/>
      <c r="BC70" s="16"/>
    </row>
    <row r="71">
      <c r="A71" s="15"/>
      <c r="B71" s="35" t="s">
        <v>79</v>
      </c>
      <c r="C71" s="30" t="s">
        <v>53</v>
      </c>
      <c r="D71" s="20"/>
      <c r="E71" s="20"/>
      <c r="F71" s="20"/>
      <c r="G71" s="20"/>
      <c r="H71" s="20"/>
      <c r="I71" s="16"/>
      <c r="J71" s="20"/>
      <c r="K71" s="20"/>
      <c r="L71" s="16"/>
      <c r="M71" s="16"/>
      <c r="N71" s="16"/>
      <c r="O71" s="20"/>
      <c r="P71" s="16"/>
      <c r="Q71" s="16"/>
      <c r="R71" s="16"/>
      <c r="S71" s="16"/>
      <c r="T71" s="20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F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8"/>
      <c r="AZ71" s="16"/>
      <c r="BA71" s="16"/>
      <c r="BB71" s="16"/>
      <c r="BC71" s="16"/>
    </row>
    <row r="72">
      <c r="A72" s="15"/>
      <c r="B72" s="35" t="s">
        <v>80</v>
      </c>
      <c r="C72" s="30" t="s">
        <v>58</v>
      </c>
      <c r="D72" s="20"/>
      <c r="E72" s="20"/>
      <c r="F72" s="20"/>
      <c r="G72" s="20"/>
      <c r="H72" s="20"/>
      <c r="I72" s="16"/>
      <c r="J72" s="16"/>
      <c r="K72" s="16" t="s">
        <v>4</v>
      </c>
      <c r="L72" s="16"/>
      <c r="M72" s="16"/>
      <c r="N72" s="16"/>
      <c r="O72" s="20"/>
      <c r="P72" s="16"/>
      <c r="Q72" s="16"/>
      <c r="R72" s="16"/>
      <c r="S72" s="16"/>
      <c r="T72" s="20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F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8"/>
      <c r="AZ72" s="16"/>
      <c r="BA72" s="16"/>
      <c r="BB72" s="16"/>
      <c r="BC72" s="16"/>
    </row>
    <row r="73">
      <c r="A73" s="15"/>
      <c r="B73" s="35" t="s">
        <v>81</v>
      </c>
      <c r="C73" s="30" t="s">
        <v>58</v>
      </c>
      <c r="D73" s="20"/>
      <c r="E73" s="20"/>
      <c r="F73" s="20"/>
      <c r="G73" s="20"/>
      <c r="H73" s="20"/>
      <c r="I73" s="16"/>
      <c r="J73" s="16"/>
      <c r="K73" s="16"/>
      <c r="L73" s="16" t="s">
        <v>4</v>
      </c>
      <c r="M73" s="16"/>
      <c r="N73" s="16"/>
      <c r="O73" s="20"/>
      <c r="P73" s="16"/>
      <c r="Q73" s="16"/>
      <c r="R73" s="16"/>
      <c r="S73" s="16"/>
      <c r="T73" s="20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F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8"/>
      <c r="AZ73" s="16"/>
      <c r="BA73" s="16"/>
      <c r="BB73" s="16"/>
      <c r="BC73" s="16"/>
    </row>
    <row r="74">
      <c r="A74" s="15"/>
      <c r="B74" s="28" t="s">
        <v>82</v>
      </c>
      <c r="C74" s="30" t="s">
        <v>53</v>
      </c>
      <c r="D74" s="20"/>
      <c r="E74" s="20"/>
      <c r="F74" s="20"/>
      <c r="G74" s="20"/>
      <c r="H74" s="20"/>
      <c r="I74" s="16"/>
      <c r="J74" s="16"/>
      <c r="K74" s="16"/>
      <c r="L74" s="16"/>
      <c r="M74" s="16"/>
      <c r="N74" s="16"/>
      <c r="O74" s="20"/>
      <c r="P74" s="16"/>
      <c r="Q74" s="16"/>
      <c r="R74" s="16" t="s">
        <v>4</v>
      </c>
      <c r="S74" s="16" t="s">
        <v>4</v>
      </c>
      <c r="T74" s="16" t="s">
        <v>4</v>
      </c>
      <c r="U74" s="16" t="s">
        <v>4</v>
      </c>
      <c r="V74" s="16"/>
      <c r="W74" s="16"/>
      <c r="X74" s="16"/>
      <c r="Y74" s="16" t="s">
        <v>4</v>
      </c>
      <c r="Z74" s="16"/>
      <c r="AA74" s="16"/>
      <c r="AB74" s="16"/>
      <c r="AC74" s="16"/>
      <c r="AD74" s="16"/>
      <c r="AF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8"/>
      <c r="AZ74" s="16"/>
      <c r="BA74" s="16"/>
      <c r="BB74" s="16"/>
      <c r="BC74" s="16"/>
    </row>
    <row r="75">
      <c r="A75" s="21"/>
      <c r="B75" s="16" t="s">
        <v>83</v>
      </c>
      <c r="C75" s="30" t="s">
        <v>53</v>
      </c>
      <c r="D75" s="20"/>
      <c r="E75" s="20"/>
      <c r="F75" s="20"/>
      <c r="G75" s="20"/>
      <c r="H75" s="20"/>
      <c r="I75" s="16"/>
      <c r="J75" s="16"/>
      <c r="K75" s="16"/>
      <c r="L75" s="16"/>
      <c r="M75" s="16"/>
      <c r="N75" s="16"/>
      <c r="O75" s="20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 t="s">
        <v>4</v>
      </c>
      <c r="AF75" s="16"/>
      <c r="AH75" s="16" t="s">
        <v>4</v>
      </c>
      <c r="AI75" s="16"/>
      <c r="AJ75" s="16"/>
      <c r="AK75" s="16"/>
      <c r="AL75" s="16"/>
      <c r="AM75" s="16"/>
      <c r="AN75" s="16"/>
      <c r="AO75" s="16"/>
      <c r="AP75" s="16"/>
      <c r="AQ75" s="16"/>
      <c r="AR75" s="16" t="s">
        <v>4</v>
      </c>
      <c r="AS75" s="16" t="s">
        <v>4</v>
      </c>
      <c r="AT75" s="16" t="s">
        <v>4</v>
      </c>
      <c r="AU75" s="16"/>
      <c r="AV75" s="16"/>
      <c r="AW75" s="16"/>
      <c r="AX75" s="16"/>
      <c r="AY75" s="18"/>
      <c r="AZ75" s="16"/>
      <c r="BA75" s="16"/>
      <c r="BB75" s="16"/>
      <c r="BC75" s="16"/>
    </row>
    <row r="76">
      <c r="A76" s="36"/>
      <c r="B76" s="28" t="s">
        <v>84</v>
      </c>
      <c r="C76" s="30" t="s">
        <v>58</v>
      </c>
      <c r="D76" s="20"/>
      <c r="E76" s="20"/>
      <c r="F76" s="20"/>
      <c r="G76" s="20"/>
      <c r="H76" s="20"/>
      <c r="I76" s="16"/>
      <c r="J76" s="16"/>
      <c r="K76" s="16"/>
      <c r="L76" s="16"/>
      <c r="M76" s="16"/>
      <c r="N76" s="16"/>
      <c r="O76" s="20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F76" s="16"/>
      <c r="AH76" s="16" t="s">
        <v>4</v>
      </c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8"/>
      <c r="AZ76" s="16"/>
      <c r="BA76" s="16"/>
      <c r="BB76" s="16"/>
      <c r="BC76" s="16"/>
    </row>
    <row r="77">
      <c r="A77" s="36"/>
      <c r="B77" s="28" t="s">
        <v>85</v>
      </c>
      <c r="C77" s="30" t="s">
        <v>58</v>
      </c>
      <c r="D77" s="20"/>
      <c r="E77" s="20"/>
      <c r="F77" s="20"/>
      <c r="G77" s="20"/>
      <c r="H77" s="20"/>
      <c r="I77" s="16"/>
      <c r="J77" s="16"/>
      <c r="K77" s="16"/>
      <c r="L77" s="16"/>
      <c r="M77" s="16"/>
      <c r="N77" s="16"/>
      <c r="O77" s="20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F77" s="16"/>
      <c r="AH77" s="16" t="s">
        <v>4</v>
      </c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8"/>
      <c r="AZ77" s="16"/>
      <c r="BA77" s="16"/>
      <c r="BB77" s="16"/>
      <c r="BC77" s="16"/>
    </row>
    <row r="78">
      <c r="A78" s="36"/>
      <c r="B78" s="28" t="s">
        <v>86</v>
      </c>
      <c r="C78" s="30" t="s">
        <v>58</v>
      </c>
      <c r="D78" s="20"/>
      <c r="E78" s="20"/>
      <c r="F78" s="20"/>
      <c r="G78" s="20"/>
      <c r="H78" s="20"/>
      <c r="I78" s="16"/>
      <c r="J78" s="16"/>
      <c r="K78" s="16"/>
      <c r="L78" s="16"/>
      <c r="M78" s="16"/>
      <c r="N78" s="16"/>
      <c r="O78" s="20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F78" s="16"/>
      <c r="AH78" s="16"/>
      <c r="AI78" s="16"/>
      <c r="AJ78" s="16"/>
      <c r="AK78" s="16"/>
      <c r="AL78" s="16" t="s">
        <v>4</v>
      </c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8"/>
      <c r="AZ78" s="16"/>
      <c r="BA78" s="16"/>
      <c r="BB78" s="16"/>
      <c r="BC78" s="16"/>
    </row>
    <row r="79">
      <c r="A79" s="36"/>
      <c r="B79" s="28" t="s">
        <v>87</v>
      </c>
      <c r="C79" s="30" t="s">
        <v>53</v>
      </c>
      <c r="D79" s="20"/>
      <c r="E79" s="20"/>
      <c r="F79" s="20"/>
      <c r="G79" s="20"/>
      <c r="H79" s="20"/>
      <c r="I79" s="16"/>
      <c r="J79" s="16"/>
      <c r="K79" s="16"/>
      <c r="L79" s="16"/>
      <c r="M79" s="16"/>
      <c r="N79" s="16"/>
      <c r="O79" s="20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F79" s="16"/>
      <c r="AH79" s="16"/>
      <c r="AI79" s="16"/>
      <c r="AJ79" s="16"/>
      <c r="AK79" s="16"/>
      <c r="AL79" s="16" t="s">
        <v>4</v>
      </c>
      <c r="AM79" s="16" t="s">
        <v>4</v>
      </c>
      <c r="AN79" s="16"/>
      <c r="AO79" s="16" t="s">
        <v>4</v>
      </c>
      <c r="AP79" s="16"/>
      <c r="AQ79" s="16"/>
      <c r="AR79" s="16"/>
      <c r="AS79" s="16"/>
      <c r="AT79" s="16"/>
      <c r="AU79" s="16"/>
      <c r="AV79" s="16"/>
      <c r="AW79" s="16"/>
      <c r="AX79" s="16"/>
      <c r="AY79" s="18"/>
      <c r="AZ79" s="16"/>
      <c r="BA79" s="16"/>
      <c r="BB79" s="16"/>
      <c r="BC79" s="16"/>
    </row>
    <row r="80">
      <c r="A80" s="36"/>
      <c r="B80" s="28" t="s">
        <v>88</v>
      </c>
      <c r="C80" s="30" t="s">
        <v>58</v>
      </c>
      <c r="D80" s="20"/>
      <c r="E80" s="20"/>
      <c r="F80" s="20"/>
      <c r="G80" s="20"/>
      <c r="H80" s="20"/>
      <c r="I80" s="16"/>
      <c r="J80" s="16"/>
      <c r="K80" s="16"/>
      <c r="L80" s="16"/>
      <c r="M80" s="16"/>
      <c r="N80" s="16"/>
      <c r="O80" s="20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F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 t="s">
        <v>4</v>
      </c>
      <c r="AS80" s="16"/>
      <c r="AT80" s="16"/>
      <c r="AU80" s="16"/>
      <c r="AV80" s="16"/>
      <c r="AW80" s="16"/>
      <c r="AX80" s="16"/>
      <c r="AY80" s="18"/>
      <c r="AZ80" s="16"/>
      <c r="BA80" s="16"/>
      <c r="BB80" s="16"/>
      <c r="BC80" s="16"/>
    </row>
    <row r="81">
      <c r="A81" s="37" t="s">
        <v>89</v>
      </c>
      <c r="B81" s="38" t="s">
        <v>90</v>
      </c>
      <c r="C81" s="9" t="s">
        <v>89</v>
      </c>
      <c r="D81" s="8"/>
      <c r="E81" s="10"/>
      <c r="F81" s="10"/>
      <c r="G81" s="10"/>
      <c r="H81" s="8"/>
      <c r="I81" s="8"/>
      <c r="J81" s="10"/>
      <c r="K81" s="10"/>
      <c r="L81" s="10"/>
      <c r="M81" s="10"/>
      <c r="N81" s="8"/>
      <c r="O81" s="10"/>
      <c r="P81" s="8"/>
      <c r="Q81" s="8"/>
      <c r="R81" s="8"/>
      <c r="S81" s="10"/>
      <c r="T81" s="10"/>
      <c r="U81" s="8"/>
      <c r="V81" s="8"/>
      <c r="W81" s="8"/>
      <c r="X81" s="10"/>
      <c r="Y81" s="10"/>
      <c r="Z81" s="10"/>
      <c r="AA81" s="8"/>
      <c r="AB81" s="10"/>
      <c r="AC81" s="8"/>
      <c r="AD81" s="8"/>
      <c r="AF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39"/>
      <c r="AS81" s="8"/>
      <c r="AT81" s="8"/>
      <c r="AU81" s="8"/>
      <c r="AV81" s="8"/>
      <c r="AW81" s="8"/>
      <c r="AX81" s="8"/>
      <c r="AY81" s="25"/>
      <c r="AZ81" s="8"/>
      <c r="BA81" s="8"/>
      <c r="BB81" s="8"/>
      <c r="BC81" s="8"/>
    </row>
    <row r="82">
      <c r="A82" s="15"/>
      <c r="B82" s="35" t="s">
        <v>91</v>
      </c>
      <c r="C82" s="17" t="s">
        <v>89</v>
      </c>
      <c r="D82" s="20"/>
      <c r="E82" s="20"/>
      <c r="F82" s="20"/>
      <c r="G82" s="20"/>
      <c r="H82" s="20"/>
      <c r="I82" s="16"/>
      <c r="J82" s="16"/>
      <c r="K82" s="20"/>
      <c r="L82" s="20"/>
      <c r="M82" s="20"/>
      <c r="N82" s="16"/>
      <c r="O82" s="20"/>
      <c r="P82" s="16"/>
      <c r="Q82" s="16"/>
      <c r="R82" s="16"/>
      <c r="S82" s="20"/>
      <c r="T82" s="20"/>
      <c r="U82" s="16"/>
      <c r="V82" s="16"/>
      <c r="W82" s="16"/>
      <c r="X82" s="20"/>
      <c r="Y82" s="20"/>
      <c r="Z82" s="20"/>
      <c r="AA82" s="16"/>
      <c r="AB82" s="20"/>
      <c r="AC82" s="16"/>
      <c r="AD82" s="16"/>
      <c r="AF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40"/>
      <c r="AS82" s="16"/>
      <c r="AT82" s="16"/>
      <c r="AU82" s="16"/>
      <c r="AV82" s="16"/>
      <c r="AW82" s="16"/>
      <c r="AX82" s="16"/>
      <c r="AY82" s="18"/>
      <c r="AZ82" s="16"/>
      <c r="BA82" s="16"/>
      <c r="BB82" s="16"/>
      <c r="BC82" s="16"/>
    </row>
    <row r="83">
      <c r="A83" s="15"/>
      <c r="B83" s="35" t="s">
        <v>92</v>
      </c>
      <c r="C83" s="17" t="s">
        <v>89</v>
      </c>
      <c r="D83" s="20"/>
      <c r="E83" s="20"/>
      <c r="F83" s="20"/>
      <c r="G83" s="20"/>
      <c r="H83" s="20"/>
      <c r="I83" s="16"/>
      <c r="J83" s="20"/>
      <c r="K83" s="20"/>
      <c r="L83" s="16"/>
      <c r="M83" s="20"/>
      <c r="N83" s="16"/>
      <c r="O83" s="20"/>
      <c r="P83" s="16"/>
      <c r="Q83" s="16"/>
      <c r="R83" s="16"/>
      <c r="S83" s="16"/>
      <c r="T83" s="20"/>
      <c r="U83" s="16"/>
      <c r="V83" s="16"/>
      <c r="W83" s="16"/>
      <c r="X83" s="20"/>
      <c r="Y83" s="20"/>
      <c r="Z83" s="20"/>
      <c r="AA83" s="16"/>
      <c r="AB83" s="20"/>
      <c r="AC83" s="16"/>
      <c r="AD83" s="16"/>
      <c r="AF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40"/>
      <c r="AS83" s="16"/>
      <c r="AT83" s="16"/>
      <c r="AU83" s="16"/>
      <c r="AV83" s="16"/>
      <c r="AW83" s="16"/>
      <c r="AX83" s="16"/>
      <c r="AY83" s="18"/>
      <c r="AZ83" s="16"/>
      <c r="BA83" s="16"/>
      <c r="BB83" s="16"/>
      <c r="BC83" s="16"/>
    </row>
    <row r="84">
      <c r="A84" s="15"/>
      <c r="B84" s="35" t="s">
        <v>93</v>
      </c>
      <c r="C84" s="17" t="s">
        <v>89</v>
      </c>
      <c r="D84" s="20"/>
      <c r="E84" s="20"/>
      <c r="F84" s="20"/>
      <c r="G84" s="16"/>
      <c r="H84" s="20"/>
      <c r="I84" s="16"/>
      <c r="J84" s="20"/>
      <c r="K84" s="20"/>
      <c r="L84" s="16"/>
      <c r="M84" s="20"/>
      <c r="N84" s="16"/>
      <c r="O84" s="20"/>
      <c r="P84" s="16"/>
      <c r="Q84" s="16"/>
      <c r="R84" s="16"/>
      <c r="S84" s="16"/>
      <c r="T84" s="20"/>
      <c r="U84" s="16"/>
      <c r="V84" s="16"/>
      <c r="W84" s="16"/>
      <c r="X84" s="20"/>
      <c r="Y84" s="20"/>
      <c r="Z84" s="20"/>
      <c r="AA84" s="16"/>
      <c r="AB84" s="20"/>
      <c r="AC84" s="16"/>
      <c r="AD84" s="16"/>
      <c r="AF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40"/>
      <c r="AS84" s="16"/>
      <c r="AT84" s="16"/>
      <c r="AU84" s="16"/>
      <c r="AV84" s="16"/>
      <c r="AW84" s="16"/>
      <c r="AX84" s="16"/>
      <c r="AY84" s="18"/>
      <c r="AZ84" s="16"/>
      <c r="BA84" s="16"/>
      <c r="BB84" s="16"/>
      <c r="BC84" s="16"/>
    </row>
    <row r="85">
      <c r="A85" s="15"/>
      <c r="B85" s="35" t="s">
        <v>94</v>
      </c>
      <c r="C85" s="30" t="s">
        <v>89</v>
      </c>
      <c r="D85" s="20"/>
      <c r="E85" s="20"/>
      <c r="F85" s="20"/>
      <c r="G85" s="16"/>
      <c r="H85" s="20"/>
      <c r="I85" s="16"/>
      <c r="J85" s="16"/>
      <c r="K85" s="20"/>
      <c r="L85" s="16"/>
      <c r="M85" s="16"/>
      <c r="N85" s="16" t="s">
        <v>4</v>
      </c>
      <c r="O85" s="16"/>
      <c r="P85" s="16"/>
      <c r="Q85" s="16"/>
      <c r="R85" s="16"/>
      <c r="S85" s="16"/>
      <c r="T85" s="16"/>
      <c r="U85" s="16"/>
      <c r="V85" s="16"/>
      <c r="W85" s="16"/>
      <c r="X85" s="20"/>
      <c r="Y85" s="20"/>
      <c r="Z85" s="20"/>
      <c r="AA85" s="16"/>
      <c r="AB85" s="20"/>
      <c r="AC85" s="16"/>
      <c r="AD85" s="16"/>
      <c r="AF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40"/>
      <c r="AS85" s="16"/>
      <c r="AT85" s="16"/>
      <c r="AU85" s="16"/>
      <c r="AV85" s="16"/>
      <c r="AW85" s="16"/>
      <c r="AX85" s="16"/>
      <c r="AY85" s="18"/>
      <c r="AZ85" s="16"/>
      <c r="BA85" s="16"/>
      <c r="BB85" s="16"/>
      <c r="BC85" s="16"/>
    </row>
    <row r="86">
      <c r="A86" s="15"/>
      <c r="B86" s="35" t="s">
        <v>95</v>
      </c>
      <c r="C86" s="30" t="s">
        <v>89</v>
      </c>
      <c r="D86" s="20"/>
      <c r="E86" s="20"/>
      <c r="F86" s="20"/>
      <c r="G86" s="16"/>
      <c r="H86" s="20"/>
      <c r="I86" s="16"/>
      <c r="J86" s="16"/>
      <c r="K86" s="20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20"/>
      <c r="Y86" s="20"/>
      <c r="Z86" s="20"/>
      <c r="AA86" s="16"/>
      <c r="AB86" s="20"/>
      <c r="AC86" s="16"/>
      <c r="AD86" s="16"/>
      <c r="AF86" s="16"/>
      <c r="AH86" s="16" t="s">
        <v>4</v>
      </c>
      <c r="AI86" s="16"/>
      <c r="AJ86" s="16"/>
      <c r="AK86" s="16"/>
      <c r="AL86" s="16"/>
      <c r="AM86" s="16"/>
      <c r="AN86" s="16"/>
      <c r="AO86" s="16"/>
      <c r="AP86" s="16"/>
      <c r="AQ86" s="16"/>
      <c r="AR86" s="40"/>
      <c r="AS86" s="16"/>
      <c r="AT86" s="16"/>
      <c r="AU86" s="16"/>
      <c r="AV86" s="16"/>
      <c r="AW86" s="16"/>
      <c r="AX86" s="16"/>
      <c r="AY86" s="18"/>
      <c r="AZ86" s="16"/>
      <c r="BA86" s="16"/>
      <c r="BB86" s="16"/>
      <c r="BC86" s="16"/>
    </row>
    <row r="87">
      <c r="A87" s="15"/>
      <c r="B87" s="35" t="s">
        <v>96</v>
      </c>
      <c r="C87" s="30" t="s">
        <v>89</v>
      </c>
      <c r="D87" s="20"/>
      <c r="E87" s="20"/>
      <c r="F87" s="20"/>
      <c r="G87" s="16"/>
      <c r="H87" s="20"/>
      <c r="I87" s="16"/>
      <c r="J87" s="16"/>
      <c r="K87" s="20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20"/>
      <c r="Y87" s="20"/>
      <c r="Z87" s="20"/>
      <c r="AA87" s="16"/>
      <c r="AB87" s="20"/>
      <c r="AC87" s="16"/>
      <c r="AD87" s="16"/>
      <c r="AF87" s="16"/>
      <c r="AH87" s="16" t="s">
        <v>4</v>
      </c>
      <c r="AI87" s="16"/>
      <c r="AJ87" s="16"/>
      <c r="AK87" s="16"/>
      <c r="AL87" s="16"/>
      <c r="AM87" s="16"/>
      <c r="AN87" s="16"/>
      <c r="AO87" s="16"/>
      <c r="AP87" s="16"/>
      <c r="AQ87" s="16"/>
      <c r="AR87" s="40"/>
      <c r="AS87" s="16"/>
      <c r="AT87" s="16"/>
      <c r="AU87" s="16"/>
      <c r="AV87" s="16"/>
      <c r="AW87" s="16"/>
      <c r="AX87" s="16"/>
      <c r="AY87" s="18"/>
      <c r="AZ87" s="16"/>
      <c r="BA87" s="16"/>
      <c r="BB87" s="16"/>
      <c r="BC87" s="16"/>
    </row>
    <row r="88">
      <c r="A88" s="15"/>
      <c r="B88" s="28" t="s">
        <v>97</v>
      </c>
      <c r="C88" s="30" t="s">
        <v>89</v>
      </c>
      <c r="D88" s="20"/>
      <c r="E88" s="20"/>
      <c r="F88" s="20"/>
      <c r="G88" s="16"/>
      <c r="H88" s="20"/>
      <c r="I88" s="16"/>
      <c r="J88" s="16"/>
      <c r="K88" s="20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20"/>
      <c r="Y88" s="20"/>
      <c r="Z88" s="20"/>
      <c r="AA88" s="16"/>
      <c r="AB88" s="20"/>
      <c r="AC88" s="16"/>
      <c r="AD88" s="16"/>
      <c r="AF88" s="16"/>
      <c r="AH88" s="16"/>
      <c r="AI88" s="16"/>
      <c r="AJ88" s="16"/>
      <c r="AK88" s="16" t="s">
        <v>4</v>
      </c>
      <c r="AL88" s="16"/>
      <c r="AM88" s="16"/>
      <c r="AN88" s="16"/>
      <c r="AO88" s="16"/>
      <c r="AP88" s="16"/>
      <c r="AQ88" s="16"/>
      <c r="AR88" s="40"/>
      <c r="AS88" s="16"/>
      <c r="AT88" s="16"/>
      <c r="AU88" s="16"/>
      <c r="AV88" s="16"/>
      <c r="AW88" s="16"/>
      <c r="AX88" s="16"/>
      <c r="AY88" s="18"/>
      <c r="AZ88" s="16"/>
      <c r="BA88" s="16"/>
      <c r="BB88" s="16"/>
      <c r="BC88" s="16"/>
    </row>
    <row r="89">
      <c r="A89" s="21"/>
      <c r="B89" s="41"/>
      <c r="C89" s="42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F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43"/>
      <c r="AS89" s="20"/>
      <c r="AT89" s="20"/>
      <c r="AU89" s="20"/>
      <c r="AV89" s="20"/>
      <c r="AW89" s="20"/>
      <c r="AX89" s="20"/>
      <c r="AY89" s="44"/>
      <c r="AZ89" s="20"/>
      <c r="BA89" s="20"/>
      <c r="BB89" s="20"/>
      <c r="BC89" s="20"/>
    </row>
    <row r="90">
      <c r="A90" s="45"/>
      <c r="B90" s="46"/>
      <c r="C90" s="42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F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43"/>
      <c r="AS90" s="20"/>
      <c r="AT90" s="20"/>
      <c r="AU90" s="20"/>
      <c r="AV90" s="20"/>
      <c r="AW90" s="20"/>
      <c r="AX90" s="20"/>
      <c r="AY90" s="44"/>
      <c r="AZ90" s="20"/>
      <c r="BA90" s="20"/>
      <c r="BB90" s="20"/>
      <c r="BC90" s="20"/>
    </row>
    <row r="91">
      <c r="A91" s="45"/>
      <c r="B91" s="46"/>
      <c r="C91" s="42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F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43"/>
      <c r="AS91" s="20"/>
      <c r="AT91" s="20"/>
      <c r="AU91" s="20"/>
      <c r="AV91" s="20"/>
      <c r="AW91" s="20"/>
      <c r="AX91" s="20"/>
      <c r="AY91" s="44"/>
      <c r="AZ91" s="20"/>
      <c r="BA91" s="20"/>
      <c r="BB91" s="20"/>
      <c r="BC91" s="20"/>
    </row>
    <row r="92" hidden="1">
      <c r="A92" s="47" t="s">
        <v>98</v>
      </c>
      <c r="B92" s="16"/>
      <c r="C92" s="16"/>
      <c r="D92" s="20"/>
      <c r="E92" s="20"/>
      <c r="F92" s="20"/>
      <c r="G92" s="20"/>
      <c r="H92" s="20"/>
      <c r="I92" s="20"/>
      <c r="J92" s="20"/>
      <c r="K92" s="20"/>
      <c r="L92" s="16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48"/>
      <c r="AF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43"/>
      <c r="AS92" s="20"/>
      <c r="AT92" s="20"/>
      <c r="AU92" s="49"/>
      <c r="AV92" s="20"/>
      <c r="AW92" s="20"/>
      <c r="AX92" s="20"/>
      <c r="AY92" s="44"/>
      <c r="AZ92" s="20"/>
      <c r="BA92" s="20"/>
      <c r="BB92" s="20"/>
      <c r="BC92" s="20"/>
    </row>
    <row r="93" hidden="1">
      <c r="A93" s="15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48"/>
      <c r="AF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43"/>
      <c r="AS93" s="20"/>
      <c r="AT93" s="20"/>
      <c r="AU93" s="49"/>
      <c r="AV93" s="20"/>
      <c r="AW93" s="20"/>
      <c r="AX93" s="20"/>
      <c r="AY93" s="44"/>
      <c r="AZ93" s="20"/>
      <c r="BA93" s="20"/>
      <c r="BB93" s="20"/>
      <c r="BC93" s="20"/>
    </row>
    <row r="94" hidden="1">
      <c r="A94" s="15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48"/>
      <c r="AF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43"/>
      <c r="AS94" s="20"/>
      <c r="AT94" s="20"/>
      <c r="AU94" s="49"/>
      <c r="AV94" s="20"/>
      <c r="AW94" s="20"/>
      <c r="AX94" s="20"/>
      <c r="AY94" s="44"/>
      <c r="AZ94" s="20"/>
      <c r="BA94" s="20"/>
      <c r="BB94" s="20"/>
      <c r="BC94" s="20"/>
    </row>
    <row r="95" hidden="1">
      <c r="A95" s="15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48"/>
      <c r="AF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43"/>
      <c r="AS95" s="20"/>
      <c r="AT95" s="20"/>
      <c r="AU95" s="49"/>
      <c r="AV95" s="20"/>
      <c r="AW95" s="20"/>
      <c r="AX95" s="20"/>
      <c r="AY95" s="44"/>
      <c r="AZ95" s="20"/>
      <c r="BA95" s="20"/>
      <c r="BB95" s="20"/>
      <c r="BC95" s="20"/>
    </row>
    <row r="96" hidden="1">
      <c r="A96" s="15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48"/>
      <c r="AF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43"/>
      <c r="AS96" s="20"/>
      <c r="AT96" s="20"/>
      <c r="AU96" s="49"/>
      <c r="AV96" s="20"/>
      <c r="AW96" s="20"/>
      <c r="AX96" s="20"/>
      <c r="AY96" s="44"/>
      <c r="AZ96" s="20"/>
      <c r="BA96" s="20"/>
      <c r="BB96" s="20"/>
      <c r="BC96" s="20"/>
    </row>
    <row r="97" hidden="1">
      <c r="A97" s="15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48"/>
      <c r="AF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43"/>
      <c r="AS97" s="20"/>
      <c r="AT97" s="20"/>
      <c r="AU97" s="49"/>
      <c r="AV97" s="20"/>
      <c r="AW97" s="20"/>
      <c r="AX97" s="20"/>
      <c r="AY97" s="44"/>
      <c r="AZ97" s="20"/>
      <c r="BA97" s="20"/>
      <c r="BB97" s="20"/>
      <c r="BC97" s="20"/>
    </row>
    <row r="98" hidden="1">
      <c r="A98" s="15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48"/>
      <c r="AF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43"/>
      <c r="AS98" s="20"/>
      <c r="AT98" s="20"/>
      <c r="AU98" s="49"/>
      <c r="AV98" s="20"/>
      <c r="AW98" s="20"/>
      <c r="AX98" s="20"/>
      <c r="AY98" s="44"/>
      <c r="AZ98" s="20"/>
      <c r="BA98" s="20"/>
      <c r="BB98" s="20"/>
      <c r="BC98" s="20"/>
    </row>
    <row r="99" hidden="1">
      <c r="A99" s="15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48"/>
      <c r="AF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43"/>
      <c r="AS99" s="20"/>
      <c r="AT99" s="20"/>
      <c r="AU99" s="49"/>
      <c r="AV99" s="20"/>
      <c r="AW99" s="20"/>
      <c r="AX99" s="20"/>
      <c r="AY99" s="44"/>
      <c r="AZ99" s="20"/>
      <c r="BA99" s="20"/>
      <c r="BB99" s="20"/>
      <c r="BC99" s="20"/>
    </row>
    <row r="100" hidden="1">
      <c r="A100" s="15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48"/>
      <c r="AF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43"/>
      <c r="AS100" s="20"/>
      <c r="AT100" s="20"/>
      <c r="AU100" s="49"/>
      <c r="AV100" s="20"/>
      <c r="AW100" s="20"/>
      <c r="AX100" s="20"/>
      <c r="AY100" s="44"/>
      <c r="AZ100" s="20"/>
      <c r="BA100" s="20"/>
      <c r="BB100" s="20"/>
      <c r="BC100" s="20"/>
    </row>
    <row r="101" hidden="1">
      <c r="A101" s="21"/>
      <c r="B101" s="5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48"/>
      <c r="AF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43"/>
      <c r="AS101" s="20"/>
      <c r="AT101" s="20"/>
      <c r="AU101" s="49"/>
      <c r="AV101" s="20"/>
      <c r="AW101" s="20"/>
      <c r="AX101" s="20"/>
      <c r="AY101" s="44"/>
      <c r="AZ101" s="20"/>
      <c r="BA101" s="20"/>
      <c r="BB101" s="20"/>
      <c r="BC101" s="20"/>
    </row>
    <row r="102">
      <c r="AE102" s="51"/>
      <c r="AR102" s="52"/>
      <c r="AU102" s="49"/>
      <c r="AY102" s="53"/>
    </row>
    <row r="103">
      <c r="AE103" s="51"/>
      <c r="AR103" s="52"/>
      <c r="AU103" s="49"/>
      <c r="AY103" s="53"/>
    </row>
    <row r="104">
      <c r="AE104" s="51"/>
      <c r="AR104" s="52"/>
      <c r="AU104" s="49"/>
      <c r="AY104" s="53"/>
    </row>
    <row r="105">
      <c r="AE105" s="51"/>
      <c r="AR105" s="52"/>
      <c r="AU105" s="49"/>
      <c r="AY105" s="53"/>
    </row>
    <row r="106" hidden="1">
      <c r="AE106" s="51"/>
      <c r="AR106" s="52"/>
      <c r="AU106" s="49"/>
      <c r="AY106" s="53"/>
    </row>
    <row r="107">
      <c r="AE107" s="51"/>
      <c r="AR107" s="52"/>
      <c r="AU107" s="49"/>
      <c r="AY107" s="53"/>
    </row>
    <row r="108">
      <c r="AE108" s="51"/>
      <c r="AR108" s="52"/>
      <c r="AU108" s="49"/>
      <c r="AY108" s="53"/>
    </row>
    <row r="109">
      <c r="AE109" s="51"/>
      <c r="AR109" s="52"/>
      <c r="AU109" s="49"/>
      <c r="AY109" s="53"/>
    </row>
    <row r="110">
      <c r="V110" s="54"/>
      <c r="W110" s="55"/>
      <c r="AE110" s="51"/>
      <c r="AR110" s="52"/>
      <c r="AU110" s="49"/>
      <c r="AY110" s="53"/>
    </row>
    <row r="111">
      <c r="AE111" s="51"/>
      <c r="AR111" s="52"/>
      <c r="AU111" s="49"/>
      <c r="AY111" s="53"/>
    </row>
    <row r="112">
      <c r="AE112" s="51"/>
      <c r="AR112" s="52"/>
      <c r="AU112" s="49"/>
      <c r="AY112" s="53"/>
    </row>
    <row r="113">
      <c r="AE113" s="51"/>
      <c r="AR113" s="52"/>
      <c r="AU113" s="49"/>
      <c r="AY113" s="53"/>
    </row>
    <row r="114">
      <c r="AE114" s="51"/>
      <c r="AR114" s="52"/>
      <c r="AU114" s="49"/>
      <c r="AY114" s="53"/>
    </row>
    <row r="115">
      <c r="AE115" s="51"/>
      <c r="AR115" s="52"/>
      <c r="AU115" s="49"/>
      <c r="AY115" s="53"/>
    </row>
    <row r="116">
      <c r="AE116" s="51"/>
      <c r="AR116" s="52"/>
      <c r="AU116" s="49"/>
      <c r="AY116" s="53"/>
    </row>
    <row r="117">
      <c r="AE117" s="51"/>
      <c r="AR117" s="52"/>
      <c r="AU117" s="49"/>
      <c r="AY117" s="53"/>
    </row>
    <row r="118">
      <c r="AE118" s="51"/>
      <c r="AR118" s="52"/>
      <c r="AU118" s="49"/>
      <c r="AY118" s="53"/>
    </row>
    <row r="119">
      <c r="AE119" s="51"/>
      <c r="AR119" s="52"/>
      <c r="AU119" s="49"/>
      <c r="AY119" s="53"/>
    </row>
    <row r="120">
      <c r="AE120" s="51"/>
      <c r="AR120" s="52"/>
      <c r="AU120" s="49"/>
      <c r="AY120" s="53"/>
    </row>
    <row r="121">
      <c r="AE121" s="51"/>
      <c r="AR121" s="52"/>
      <c r="AU121" s="49"/>
      <c r="AY121" s="53"/>
    </row>
    <row r="122">
      <c r="AE122" s="51"/>
      <c r="AR122" s="52"/>
      <c r="AU122" s="52"/>
      <c r="AY122" s="53"/>
    </row>
    <row r="123">
      <c r="AE123" s="51"/>
      <c r="AR123" s="52"/>
      <c r="AU123" s="52"/>
      <c r="AY123" s="53"/>
    </row>
    <row r="124">
      <c r="AE124" s="51"/>
      <c r="AR124" s="52"/>
      <c r="AU124" s="52"/>
      <c r="AY124" s="53"/>
    </row>
    <row r="125">
      <c r="A125" s="56"/>
      <c r="B125" s="57" t="s">
        <v>2</v>
      </c>
      <c r="C125" s="58"/>
      <c r="D125" s="59">
        <f t="shared" ref="D125:BC125" si="1">countifs($C$2:$C$96,"OM",D$2:D$96,"x")</f>
        <v>16</v>
      </c>
      <c r="E125" s="60">
        <f t="shared" si="1"/>
        <v>18</v>
      </c>
      <c r="F125" s="60">
        <f t="shared" si="1"/>
        <v>16</v>
      </c>
      <c r="G125" s="60">
        <f t="shared" si="1"/>
        <v>17</v>
      </c>
      <c r="H125" s="60">
        <f t="shared" si="1"/>
        <v>16</v>
      </c>
      <c r="I125" s="60">
        <f t="shared" si="1"/>
        <v>11</v>
      </c>
      <c r="J125" s="60">
        <f t="shared" si="1"/>
        <v>16</v>
      </c>
      <c r="K125" s="60">
        <f t="shared" si="1"/>
        <v>15</v>
      </c>
      <c r="L125" s="60">
        <f t="shared" si="1"/>
        <v>16</v>
      </c>
      <c r="M125" s="60">
        <f t="shared" si="1"/>
        <v>16</v>
      </c>
      <c r="N125" s="60">
        <f t="shared" si="1"/>
        <v>14</v>
      </c>
      <c r="O125" s="60">
        <f t="shared" si="1"/>
        <v>13</v>
      </c>
      <c r="P125" s="60">
        <f t="shared" si="1"/>
        <v>9</v>
      </c>
      <c r="Q125" s="60">
        <f t="shared" si="1"/>
        <v>16</v>
      </c>
      <c r="R125" s="60">
        <f t="shared" si="1"/>
        <v>12</v>
      </c>
      <c r="S125" s="60">
        <f t="shared" si="1"/>
        <v>18</v>
      </c>
      <c r="T125" s="60">
        <f t="shared" si="1"/>
        <v>17</v>
      </c>
      <c r="U125" s="60">
        <f t="shared" si="1"/>
        <v>15</v>
      </c>
      <c r="V125" s="60">
        <f t="shared" si="1"/>
        <v>13</v>
      </c>
      <c r="W125" s="60">
        <f t="shared" si="1"/>
        <v>17</v>
      </c>
      <c r="X125" s="60">
        <f t="shared" si="1"/>
        <v>21</v>
      </c>
      <c r="Y125" s="60">
        <f t="shared" si="1"/>
        <v>18</v>
      </c>
      <c r="Z125" s="60">
        <f t="shared" si="1"/>
        <v>15</v>
      </c>
      <c r="AA125" s="60">
        <f t="shared" si="1"/>
        <v>17</v>
      </c>
      <c r="AB125" s="60">
        <f t="shared" si="1"/>
        <v>12</v>
      </c>
      <c r="AC125" s="60">
        <f t="shared" si="1"/>
        <v>18</v>
      </c>
      <c r="AD125" s="60">
        <f t="shared" si="1"/>
        <v>8</v>
      </c>
      <c r="AE125" s="61">
        <f t="shared" si="1"/>
        <v>0</v>
      </c>
      <c r="AF125" s="60">
        <f t="shared" si="1"/>
        <v>8</v>
      </c>
      <c r="AG125" s="62">
        <f t="shared" si="1"/>
        <v>0</v>
      </c>
      <c r="AH125" s="60">
        <f t="shared" si="1"/>
        <v>18</v>
      </c>
      <c r="AI125" s="60">
        <f t="shared" si="1"/>
        <v>13</v>
      </c>
      <c r="AJ125" s="60">
        <f t="shared" si="1"/>
        <v>13</v>
      </c>
      <c r="AK125" s="60">
        <f t="shared" si="1"/>
        <v>14</v>
      </c>
      <c r="AL125" s="60">
        <f t="shared" si="1"/>
        <v>15</v>
      </c>
      <c r="AM125" s="60">
        <f t="shared" si="1"/>
        <v>17</v>
      </c>
      <c r="AN125" s="60">
        <f t="shared" si="1"/>
        <v>14</v>
      </c>
      <c r="AO125" s="60">
        <f t="shared" si="1"/>
        <v>15</v>
      </c>
      <c r="AP125" s="60">
        <f t="shared" si="1"/>
        <v>0</v>
      </c>
      <c r="AQ125" s="60">
        <f t="shared" si="1"/>
        <v>0</v>
      </c>
      <c r="AR125" s="63">
        <f t="shared" si="1"/>
        <v>15</v>
      </c>
      <c r="AS125" s="60">
        <f t="shared" si="1"/>
        <v>15</v>
      </c>
      <c r="AT125" s="60">
        <f t="shared" si="1"/>
        <v>17</v>
      </c>
      <c r="AU125" s="63">
        <f t="shared" si="1"/>
        <v>19</v>
      </c>
      <c r="AV125" s="60">
        <f t="shared" si="1"/>
        <v>0</v>
      </c>
      <c r="AW125" s="60">
        <f t="shared" si="1"/>
        <v>0</v>
      </c>
      <c r="AX125" s="60">
        <f t="shared" si="1"/>
        <v>0</v>
      </c>
      <c r="AY125" s="62">
        <f t="shared" si="1"/>
        <v>0</v>
      </c>
      <c r="AZ125" s="60">
        <f t="shared" si="1"/>
        <v>0</v>
      </c>
      <c r="BA125" s="60">
        <f t="shared" si="1"/>
        <v>0</v>
      </c>
      <c r="BB125" s="60">
        <f t="shared" si="1"/>
        <v>0</v>
      </c>
      <c r="BC125" s="60">
        <f t="shared" si="1"/>
        <v>0</v>
      </c>
    </row>
    <row r="126">
      <c r="A126" s="64"/>
      <c r="B126" s="65" t="s">
        <v>53</v>
      </c>
      <c r="D126" s="66">
        <f t="shared" ref="D126:BC126" si="2">countifs($C$2:$C$96,"RN",D$2:D$96,"x")</f>
        <v>8</v>
      </c>
      <c r="E126" s="66">
        <f t="shared" si="2"/>
        <v>9</v>
      </c>
      <c r="F126" s="66">
        <f t="shared" si="2"/>
        <v>5</v>
      </c>
      <c r="G126" s="66">
        <f t="shared" si="2"/>
        <v>5</v>
      </c>
      <c r="H126" s="66">
        <f t="shared" si="2"/>
        <v>5</v>
      </c>
      <c r="I126" s="66">
        <f t="shared" si="2"/>
        <v>3</v>
      </c>
      <c r="J126" s="66">
        <f t="shared" si="2"/>
        <v>7</v>
      </c>
      <c r="K126" s="66">
        <f t="shared" si="2"/>
        <v>3</v>
      </c>
      <c r="L126" s="66">
        <f t="shared" si="2"/>
        <v>8</v>
      </c>
      <c r="M126" s="66">
        <f t="shared" si="2"/>
        <v>7</v>
      </c>
      <c r="N126" s="66">
        <f t="shared" si="2"/>
        <v>4</v>
      </c>
      <c r="O126" s="66">
        <f t="shared" si="2"/>
        <v>7</v>
      </c>
      <c r="P126" s="66">
        <f t="shared" si="2"/>
        <v>5</v>
      </c>
      <c r="Q126" s="66">
        <f t="shared" si="2"/>
        <v>7</v>
      </c>
      <c r="R126" s="66">
        <f t="shared" si="2"/>
        <v>7</v>
      </c>
      <c r="S126" s="66">
        <f t="shared" si="2"/>
        <v>7</v>
      </c>
      <c r="T126" s="66">
        <f t="shared" si="2"/>
        <v>5</v>
      </c>
      <c r="U126" s="66">
        <f t="shared" si="2"/>
        <v>7</v>
      </c>
      <c r="V126" s="66">
        <f t="shared" si="2"/>
        <v>5</v>
      </c>
      <c r="W126" s="66">
        <f t="shared" si="2"/>
        <v>7</v>
      </c>
      <c r="X126" s="66">
        <f t="shared" si="2"/>
        <v>3</v>
      </c>
      <c r="Y126" s="66">
        <f t="shared" si="2"/>
        <v>7</v>
      </c>
      <c r="Z126" s="66">
        <f t="shared" si="2"/>
        <v>5</v>
      </c>
      <c r="AA126" s="66">
        <f t="shared" si="2"/>
        <v>6</v>
      </c>
      <c r="AB126" s="66">
        <f t="shared" si="2"/>
        <v>6</v>
      </c>
      <c r="AC126" s="66">
        <f t="shared" si="2"/>
        <v>4</v>
      </c>
      <c r="AD126" s="66">
        <f t="shared" si="2"/>
        <v>5</v>
      </c>
      <c r="AE126" s="67">
        <f t="shared" si="2"/>
        <v>0</v>
      </c>
      <c r="AF126" s="66">
        <f t="shared" si="2"/>
        <v>3</v>
      </c>
      <c r="AG126" s="68">
        <f t="shared" si="2"/>
        <v>0</v>
      </c>
      <c r="AH126" s="66">
        <f t="shared" si="2"/>
        <v>6</v>
      </c>
      <c r="AI126" s="66">
        <f t="shared" si="2"/>
        <v>5</v>
      </c>
      <c r="AJ126" s="66">
        <f t="shared" si="2"/>
        <v>5</v>
      </c>
      <c r="AK126" s="66">
        <f t="shared" si="2"/>
        <v>6</v>
      </c>
      <c r="AL126" s="66">
        <f t="shared" si="2"/>
        <v>5</v>
      </c>
      <c r="AM126" s="66">
        <f t="shared" si="2"/>
        <v>6</v>
      </c>
      <c r="AN126" s="66">
        <f t="shared" si="2"/>
        <v>4</v>
      </c>
      <c r="AO126" s="66">
        <f t="shared" si="2"/>
        <v>6</v>
      </c>
      <c r="AP126" s="66">
        <f t="shared" si="2"/>
        <v>0</v>
      </c>
      <c r="AQ126" s="66">
        <f t="shared" si="2"/>
        <v>0</v>
      </c>
      <c r="AR126" s="69">
        <f t="shared" si="2"/>
        <v>2</v>
      </c>
      <c r="AS126" s="66">
        <f t="shared" si="2"/>
        <v>5</v>
      </c>
      <c r="AT126" s="66">
        <f t="shared" si="2"/>
        <v>4</v>
      </c>
      <c r="AU126" s="69">
        <f t="shared" si="2"/>
        <v>3</v>
      </c>
      <c r="AV126" s="66">
        <f t="shared" si="2"/>
        <v>0</v>
      </c>
      <c r="AW126" s="66">
        <f t="shared" si="2"/>
        <v>0</v>
      </c>
      <c r="AX126" s="66">
        <f t="shared" si="2"/>
        <v>0</v>
      </c>
      <c r="AY126" s="68">
        <f t="shared" si="2"/>
        <v>0</v>
      </c>
      <c r="AZ126" s="66">
        <f t="shared" si="2"/>
        <v>0</v>
      </c>
      <c r="BA126" s="66">
        <f t="shared" si="2"/>
        <v>0</v>
      </c>
      <c r="BB126" s="66">
        <f t="shared" si="2"/>
        <v>0</v>
      </c>
      <c r="BC126" s="66">
        <f t="shared" si="2"/>
        <v>0</v>
      </c>
    </row>
    <row r="127">
      <c r="A127" s="70"/>
      <c r="B127" s="71" t="s">
        <v>30</v>
      </c>
      <c r="D127" s="66">
        <f t="shared" ref="D127:BC127" si="3">countifs($C$2:$C$96,"XT",D$2:D$96,"x")</f>
        <v>9</v>
      </c>
      <c r="E127" s="66">
        <f t="shared" si="3"/>
        <v>12</v>
      </c>
      <c r="F127" s="66">
        <f t="shared" si="3"/>
        <v>12</v>
      </c>
      <c r="G127" s="66">
        <f t="shared" si="3"/>
        <v>10</v>
      </c>
      <c r="H127" s="66">
        <f t="shared" si="3"/>
        <v>10</v>
      </c>
      <c r="I127" s="66">
        <f t="shared" si="3"/>
        <v>10</v>
      </c>
      <c r="J127" s="66">
        <f t="shared" si="3"/>
        <v>13</v>
      </c>
      <c r="K127" s="66">
        <f t="shared" si="3"/>
        <v>10</v>
      </c>
      <c r="L127" s="66">
        <f t="shared" si="3"/>
        <v>14</v>
      </c>
      <c r="M127" s="66">
        <f t="shared" si="3"/>
        <v>13</v>
      </c>
      <c r="N127" s="66">
        <f t="shared" si="3"/>
        <v>7</v>
      </c>
      <c r="O127" s="66">
        <f t="shared" si="3"/>
        <v>10</v>
      </c>
      <c r="P127" s="66">
        <f t="shared" si="3"/>
        <v>12</v>
      </c>
      <c r="Q127" s="66">
        <f t="shared" si="3"/>
        <v>11</v>
      </c>
      <c r="R127" s="66">
        <f t="shared" si="3"/>
        <v>9</v>
      </c>
      <c r="S127" s="66">
        <f t="shared" si="3"/>
        <v>7</v>
      </c>
      <c r="T127" s="66">
        <f t="shared" si="3"/>
        <v>11</v>
      </c>
      <c r="U127" s="66">
        <f t="shared" si="3"/>
        <v>12</v>
      </c>
      <c r="V127" s="66">
        <f t="shared" si="3"/>
        <v>14</v>
      </c>
      <c r="W127" s="66">
        <f t="shared" si="3"/>
        <v>12</v>
      </c>
      <c r="X127" s="66">
        <f t="shared" si="3"/>
        <v>13</v>
      </c>
      <c r="Y127" s="66">
        <f t="shared" si="3"/>
        <v>12</v>
      </c>
      <c r="Z127" s="66">
        <f t="shared" si="3"/>
        <v>9</v>
      </c>
      <c r="AA127" s="66">
        <f t="shared" si="3"/>
        <v>9</v>
      </c>
      <c r="AB127" s="66">
        <f t="shared" si="3"/>
        <v>13</v>
      </c>
      <c r="AC127" s="66">
        <f t="shared" si="3"/>
        <v>8</v>
      </c>
      <c r="AD127" s="66">
        <f t="shared" si="3"/>
        <v>8</v>
      </c>
      <c r="AE127" s="67">
        <f t="shared" si="3"/>
        <v>0</v>
      </c>
      <c r="AF127" s="66">
        <f t="shared" si="3"/>
        <v>8</v>
      </c>
      <c r="AG127" s="68">
        <f t="shared" si="3"/>
        <v>0</v>
      </c>
      <c r="AH127" s="66">
        <f t="shared" si="3"/>
        <v>11</v>
      </c>
      <c r="AI127" s="66">
        <f t="shared" si="3"/>
        <v>9</v>
      </c>
      <c r="AJ127" s="66">
        <f t="shared" si="3"/>
        <v>9</v>
      </c>
      <c r="AK127" s="66">
        <f t="shared" si="3"/>
        <v>13</v>
      </c>
      <c r="AL127" s="66">
        <f t="shared" si="3"/>
        <v>9</v>
      </c>
      <c r="AM127" s="66">
        <f t="shared" si="3"/>
        <v>11</v>
      </c>
      <c r="AN127" s="66">
        <f t="shared" si="3"/>
        <v>9</v>
      </c>
      <c r="AO127" s="66">
        <f t="shared" si="3"/>
        <v>10</v>
      </c>
      <c r="AP127" s="66">
        <f t="shared" si="3"/>
        <v>0</v>
      </c>
      <c r="AQ127" s="66">
        <f t="shared" si="3"/>
        <v>0</v>
      </c>
      <c r="AR127" s="69">
        <f t="shared" si="3"/>
        <v>5</v>
      </c>
      <c r="AS127" s="66">
        <f t="shared" si="3"/>
        <v>9</v>
      </c>
      <c r="AT127" s="66">
        <f t="shared" si="3"/>
        <v>8</v>
      </c>
      <c r="AU127" s="69">
        <f t="shared" si="3"/>
        <v>16</v>
      </c>
      <c r="AV127" s="66">
        <f t="shared" si="3"/>
        <v>0</v>
      </c>
      <c r="AW127" s="66">
        <f t="shared" si="3"/>
        <v>0</v>
      </c>
      <c r="AX127" s="66">
        <f t="shared" si="3"/>
        <v>0</v>
      </c>
      <c r="AY127" s="68">
        <f t="shared" si="3"/>
        <v>0</v>
      </c>
      <c r="AZ127" s="66">
        <f t="shared" si="3"/>
        <v>0</v>
      </c>
      <c r="BA127" s="66">
        <f t="shared" si="3"/>
        <v>0</v>
      </c>
      <c r="BB127" s="66">
        <f t="shared" si="3"/>
        <v>0</v>
      </c>
      <c r="BC127" s="66">
        <f t="shared" si="3"/>
        <v>0</v>
      </c>
    </row>
    <row r="128">
      <c r="A128" s="72"/>
      <c r="B128" s="73" t="s">
        <v>58</v>
      </c>
      <c r="D128" s="66">
        <f t="shared" ref="D128:BC128" si="4">countifs($C$2:$C$96,"FT",D$2:D$96,"x")</f>
        <v>0</v>
      </c>
      <c r="E128" s="66">
        <f t="shared" si="4"/>
        <v>0</v>
      </c>
      <c r="F128" s="66">
        <f t="shared" si="4"/>
        <v>0</v>
      </c>
      <c r="G128" s="66">
        <f t="shared" si="4"/>
        <v>0</v>
      </c>
      <c r="H128" s="66">
        <f t="shared" si="4"/>
        <v>0</v>
      </c>
      <c r="I128" s="66">
        <f t="shared" si="4"/>
        <v>0</v>
      </c>
      <c r="J128" s="66">
        <f t="shared" si="4"/>
        <v>0</v>
      </c>
      <c r="K128" s="66">
        <f t="shared" si="4"/>
        <v>1</v>
      </c>
      <c r="L128" s="66">
        <f t="shared" si="4"/>
        <v>1</v>
      </c>
      <c r="M128" s="66">
        <f t="shared" si="4"/>
        <v>0</v>
      </c>
      <c r="N128" s="66">
        <f t="shared" si="4"/>
        <v>0</v>
      </c>
      <c r="O128" s="66">
        <f t="shared" si="4"/>
        <v>0</v>
      </c>
      <c r="P128" s="66">
        <f t="shared" si="4"/>
        <v>0</v>
      </c>
      <c r="Q128" s="66">
        <f t="shared" si="4"/>
        <v>0</v>
      </c>
      <c r="R128" s="66">
        <f t="shared" si="4"/>
        <v>0</v>
      </c>
      <c r="S128" s="66">
        <f t="shared" si="4"/>
        <v>0</v>
      </c>
      <c r="T128" s="66">
        <f t="shared" si="4"/>
        <v>0</v>
      </c>
      <c r="U128" s="66">
        <f t="shared" si="4"/>
        <v>0</v>
      </c>
      <c r="V128" s="66">
        <f t="shared" si="4"/>
        <v>0</v>
      </c>
      <c r="W128" s="66">
        <f t="shared" si="4"/>
        <v>0</v>
      </c>
      <c r="X128" s="66">
        <f t="shared" si="4"/>
        <v>0</v>
      </c>
      <c r="Y128" s="66">
        <f t="shared" si="4"/>
        <v>0</v>
      </c>
      <c r="Z128" s="66">
        <f t="shared" si="4"/>
        <v>0</v>
      </c>
      <c r="AA128" s="66">
        <f t="shared" si="4"/>
        <v>0</v>
      </c>
      <c r="AB128" s="66">
        <f t="shared" si="4"/>
        <v>0</v>
      </c>
      <c r="AC128" s="66">
        <f t="shared" si="4"/>
        <v>0</v>
      </c>
      <c r="AD128" s="66">
        <f t="shared" si="4"/>
        <v>0</v>
      </c>
      <c r="AE128" s="67">
        <f t="shared" si="4"/>
        <v>0</v>
      </c>
      <c r="AF128" s="66">
        <f t="shared" si="4"/>
        <v>0</v>
      </c>
      <c r="AG128" s="68">
        <f t="shared" si="4"/>
        <v>0</v>
      </c>
      <c r="AH128" s="66">
        <f t="shared" si="4"/>
        <v>2</v>
      </c>
      <c r="AI128" s="66">
        <f t="shared" si="4"/>
        <v>0</v>
      </c>
      <c r="AJ128" s="66">
        <f t="shared" si="4"/>
        <v>0</v>
      </c>
      <c r="AK128" s="66">
        <f t="shared" si="4"/>
        <v>0</v>
      </c>
      <c r="AL128" s="66">
        <f t="shared" si="4"/>
        <v>1</v>
      </c>
      <c r="AM128" s="66">
        <f t="shared" si="4"/>
        <v>0</v>
      </c>
      <c r="AN128" s="66">
        <f t="shared" si="4"/>
        <v>0</v>
      </c>
      <c r="AO128" s="66">
        <f t="shared" si="4"/>
        <v>0</v>
      </c>
      <c r="AP128" s="66">
        <f t="shared" si="4"/>
        <v>0</v>
      </c>
      <c r="AQ128" s="66">
        <f t="shared" si="4"/>
        <v>0</v>
      </c>
      <c r="AR128" s="69">
        <f t="shared" si="4"/>
        <v>1</v>
      </c>
      <c r="AS128" s="66">
        <f t="shared" si="4"/>
        <v>0</v>
      </c>
      <c r="AT128" s="66">
        <f t="shared" si="4"/>
        <v>0</v>
      </c>
      <c r="AU128" s="69">
        <f t="shared" si="4"/>
        <v>0</v>
      </c>
      <c r="AV128" s="66">
        <f t="shared" si="4"/>
        <v>0</v>
      </c>
      <c r="AW128" s="66">
        <f t="shared" si="4"/>
        <v>0</v>
      </c>
      <c r="AX128" s="66">
        <f t="shared" si="4"/>
        <v>0</v>
      </c>
      <c r="AY128" s="68">
        <f t="shared" si="4"/>
        <v>0</v>
      </c>
      <c r="AZ128" s="66">
        <f t="shared" si="4"/>
        <v>0</v>
      </c>
      <c r="BA128" s="66">
        <f t="shared" si="4"/>
        <v>0</v>
      </c>
      <c r="BB128" s="66">
        <f t="shared" si="4"/>
        <v>0</v>
      </c>
      <c r="BC128" s="66">
        <f t="shared" si="4"/>
        <v>0</v>
      </c>
    </row>
    <row r="129">
      <c r="A129" s="74"/>
      <c r="B129" s="75" t="s">
        <v>98</v>
      </c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7">
        <v>1.0</v>
      </c>
      <c r="P129" s="76"/>
      <c r="Q129" s="77">
        <v>2.0</v>
      </c>
      <c r="R129" s="76"/>
      <c r="S129" s="76"/>
      <c r="T129" s="76"/>
      <c r="U129" s="76"/>
      <c r="V129" s="76"/>
      <c r="W129" s="77">
        <v>1.0</v>
      </c>
      <c r="X129" s="76"/>
      <c r="Y129" s="76"/>
      <c r="Z129" s="76"/>
      <c r="AA129" s="76"/>
      <c r="AB129" s="76"/>
      <c r="AC129" s="76"/>
      <c r="AD129" s="76"/>
      <c r="AE129" s="78"/>
      <c r="AF129" s="76"/>
      <c r="AG129" s="79"/>
      <c r="AH129" s="76"/>
      <c r="AI129" s="76"/>
      <c r="AJ129" s="76"/>
      <c r="AK129" s="76"/>
      <c r="AL129" s="76"/>
      <c r="AM129" s="76"/>
      <c r="AN129" s="76"/>
      <c r="AO129" s="76"/>
      <c r="AP129" s="76"/>
      <c r="AQ129" s="76"/>
      <c r="AR129" s="80"/>
      <c r="AS129" s="76"/>
      <c r="AT129" s="76"/>
      <c r="AU129" s="80"/>
      <c r="AV129" s="76"/>
      <c r="AW129" s="76"/>
      <c r="AX129" s="76"/>
      <c r="AY129" s="79"/>
      <c r="AZ129" s="76"/>
      <c r="BA129" s="76"/>
      <c r="BB129" s="76"/>
      <c r="BC129" s="76"/>
    </row>
    <row r="130">
      <c r="A130" s="81"/>
      <c r="B130" s="82" t="s">
        <v>89</v>
      </c>
      <c r="D130" s="66">
        <f t="shared" ref="D130:BC130" si="5">countifs($C$2:$C$96,"V",D$2:D$96,"x")</f>
        <v>0</v>
      </c>
      <c r="E130" s="66">
        <f t="shared" si="5"/>
        <v>0</v>
      </c>
      <c r="F130" s="66">
        <f t="shared" si="5"/>
        <v>0</v>
      </c>
      <c r="G130" s="66">
        <f t="shared" si="5"/>
        <v>0</v>
      </c>
      <c r="H130" s="66">
        <f t="shared" si="5"/>
        <v>0</v>
      </c>
      <c r="I130" s="66">
        <f t="shared" si="5"/>
        <v>0</v>
      </c>
      <c r="J130" s="66">
        <f t="shared" si="5"/>
        <v>0</v>
      </c>
      <c r="K130" s="66">
        <f t="shared" si="5"/>
        <v>0</v>
      </c>
      <c r="L130" s="66">
        <f t="shared" si="5"/>
        <v>0</v>
      </c>
      <c r="M130" s="66">
        <f t="shared" si="5"/>
        <v>0</v>
      </c>
      <c r="N130" s="66">
        <f t="shared" si="5"/>
        <v>1</v>
      </c>
      <c r="O130" s="66">
        <f t="shared" si="5"/>
        <v>0</v>
      </c>
      <c r="P130" s="66">
        <f t="shared" si="5"/>
        <v>0</v>
      </c>
      <c r="Q130" s="66">
        <f t="shared" si="5"/>
        <v>0</v>
      </c>
      <c r="R130" s="66">
        <f t="shared" si="5"/>
        <v>0</v>
      </c>
      <c r="S130" s="66">
        <f t="shared" si="5"/>
        <v>0</v>
      </c>
      <c r="T130" s="66">
        <f t="shared" si="5"/>
        <v>0</v>
      </c>
      <c r="U130" s="66">
        <f t="shared" si="5"/>
        <v>0</v>
      </c>
      <c r="V130" s="66">
        <f t="shared" si="5"/>
        <v>0</v>
      </c>
      <c r="W130" s="66">
        <f t="shared" si="5"/>
        <v>0</v>
      </c>
      <c r="X130" s="66">
        <f t="shared" si="5"/>
        <v>0</v>
      </c>
      <c r="Y130" s="66">
        <f t="shared" si="5"/>
        <v>0</v>
      </c>
      <c r="Z130" s="66">
        <f t="shared" si="5"/>
        <v>0</v>
      </c>
      <c r="AA130" s="66">
        <f t="shared" si="5"/>
        <v>0</v>
      </c>
      <c r="AB130" s="66">
        <f t="shared" si="5"/>
        <v>0</v>
      </c>
      <c r="AC130" s="66">
        <f t="shared" si="5"/>
        <v>0</v>
      </c>
      <c r="AD130" s="66">
        <f t="shared" si="5"/>
        <v>0</v>
      </c>
      <c r="AE130" s="67">
        <f t="shared" si="5"/>
        <v>0</v>
      </c>
      <c r="AF130" s="66">
        <f t="shared" si="5"/>
        <v>0</v>
      </c>
      <c r="AG130" s="68">
        <f t="shared" si="5"/>
        <v>0</v>
      </c>
      <c r="AH130" s="66">
        <f t="shared" si="5"/>
        <v>2</v>
      </c>
      <c r="AI130" s="66">
        <f t="shared" si="5"/>
        <v>0</v>
      </c>
      <c r="AJ130" s="66">
        <f t="shared" si="5"/>
        <v>0</v>
      </c>
      <c r="AK130" s="66">
        <f t="shared" si="5"/>
        <v>1</v>
      </c>
      <c r="AL130" s="66">
        <f t="shared" si="5"/>
        <v>0</v>
      </c>
      <c r="AM130" s="66">
        <f t="shared" si="5"/>
        <v>0</v>
      </c>
      <c r="AN130" s="66">
        <f t="shared" si="5"/>
        <v>0</v>
      </c>
      <c r="AO130" s="66">
        <f t="shared" si="5"/>
        <v>0</v>
      </c>
      <c r="AP130" s="66">
        <f t="shared" si="5"/>
        <v>0</v>
      </c>
      <c r="AQ130" s="66">
        <f t="shared" si="5"/>
        <v>0</v>
      </c>
      <c r="AR130" s="69">
        <f t="shared" si="5"/>
        <v>0</v>
      </c>
      <c r="AS130" s="66">
        <f t="shared" si="5"/>
        <v>0</v>
      </c>
      <c r="AT130" s="66">
        <f t="shared" si="5"/>
        <v>0</v>
      </c>
      <c r="AU130" s="69">
        <f t="shared" si="5"/>
        <v>0</v>
      </c>
      <c r="AV130" s="66">
        <f t="shared" si="5"/>
        <v>0</v>
      </c>
      <c r="AW130" s="66">
        <f t="shared" si="5"/>
        <v>0</v>
      </c>
      <c r="AX130" s="66">
        <f t="shared" si="5"/>
        <v>0</v>
      </c>
      <c r="AY130" s="68">
        <f t="shared" si="5"/>
        <v>0</v>
      </c>
      <c r="AZ130" s="66">
        <f t="shared" si="5"/>
        <v>0</v>
      </c>
      <c r="BA130" s="66">
        <f t="shared" si="5"/>
        <v>0</v>
      </c>
      <c r="BB130" s="66">
        <f t="shared" si="5"/>
        <v>0</v>
      </c>
      <c r="BC130" s="66">
        <f t="shared" si="5"/>
        <v>0</v>
      </c>
    </row>
    <row r="131">
      <c r="A131" s="83"/>
      <c r="B131" s="84" t="s">
        <v>99</v>
      </c>
      <c r="C131" s="58"/>
      <c r="D131" s="60">
        <f t="shared" ref="D131:BC131" si="6">D128+D125+D126+D127+D130</f>
        <v>33</v>
      </c>
      <c r="E131" s="60">
        <f t="shared" si="6"/>
        <v>39</v>
      </c>
      <c r="F131" s="60">
        <f t="shared" si="6"/>
        <v>33</v>
      </c>
      <c r="G131" s="60">
        <f t="shared" si="6"/>
        <v>32</v>
      </c>
      <c r="H131" s="60">
        <f t="shared" si="6"/>
        <v>31</v>
      </c>
      <c r="I131" s="60">
        <f t="shared" si="6"/>
        <v>24</v>
      </c>
      <c r="J131" s="60">
        <f t="shared" si="6"/>
        <v>36</v>
      </c>
      <c r="K131" s="60">
        <f t="shared" si="6"/>
        <v>29</v>
      </c>
      <c r="L131" s="60">
        <f t="shared" si="6"/>
        <v>39</v>
      </c>
      <c r="M131" s="60">
        <f t="shared" si="6"/>
        <v>36</v>
      </c>
      <c r="N131" s="60">
        <f t="shared" si="6"/>
        <v>26</v>
      </c>
      <c r="O131" s="60">
        <f t="shared" si="6"/>
        <v>30</v>
      </c>
      <c r="P131" s="60">
        <f t="shared" si="6"/>
        <v>26</v>
      </c>
      <c r="Q131" s="60">
        <f t="shared" si="6"/>
        <v>34</v>
      </c>
      <c r="R131" s="60">
        <f t="shared" si="6"/>
        <v>28</v>
      </c>
      <c r="S131" s="60">
        <f t="shared" si="6"/>
        <v>32</v>
      </c>
      <c r="T131" s="60">
        <f t="shared" si="6"/>
        <v>33</v>
      </c>
      <c r="U131" s="60">
        <f t="shared" si="6"/>
        <v>34</v>
      </c>
      <c r="V131" s="60">
        <f t="shared" si="6"/>
        <v>32</v>
      </c>
      <c r="W131" s="60">
        <f t="shared" si="6"/>
        <v>36</v>
      </c>
      <c r="X131" s="60">
        <f t="shared" si="6"/>
        <v>37</v>
      </c>
      <c r="Y131" s="60">
        <f t="shared" si="6"/>
        <v>37</v>
      </c>
      <c r="Z131" s="60">
        <f t="shared" si="6"/>
        <v>29</v>
      </c>
      <c r="AA131" s="60">
        <f t="shared" si="6"/>
        <v>32</v>
      </c>
      <c r="AB131" s="60">
        <f t="shared" si="6"/>
        <v>31</v>
      </c>
      <c r="AC131" s="60">
        <f t="shared" si="6"/>
        <v>30</v>
      </c>
      <c r="AD131" s="60">
        <f t="shared" si="6"/>
        <v>21</v>
      </c>
      <c r="AE131" s="61">
        <f t="shared" si="6"/>
        <v>0</v>
      </c>
      <c r="AF131" s="60">
        <f t="shared" si="6"/>
        <v>19</v>
      </c>
      <c r="AG131" s="62">
        <f t="shared" si="6"/>
        <v>0</v>
      </c>
      <c r="AH131" s="60">
        <f t="shared" si="6"/>
        <v>39</v>
      </c>
      <c r="AI131" s="60">
        <f t="shared" si="6"/>
        <v>27</v>
      </c>
      <c r="AJ131" s="60">
        <f t="shared" si="6"/>
        <v>27</v>
      </c>
      <c r="AK131" s="60">
        <f t="shared" si="6"/>
        <v>34</v>
      </c>
      <c r="AL131" s="60">
        <f t="shared" si="6"/>
        <v>30</v>
      </c>
      <c r="AM131" s="60">
        <f t="shared" si="6"/>
        <v>34</v>
      </c>
      <c r="AN131" s="60">
        <f t="shared" si="6"/>
        <v>27</v>
      </c>
      <c r="AO131" s="60">
        <f t="shared" si="6"/>
        <v>31</v>
      </c>
      <c r="AP131" s="60">
        <f t="shared" si="6"/>
        <v>0</v>
      </c>
      <c r="AQ131" s="60">
        <f t="shared" si="6"/>
        <v>0</v>
      </c>
      <c r="AR131" s="63">
        <f t="shared" si="6"/>
        <v>23</v>
      </c>
      <c r="AS131" s="60">
        <f t="shared" si="6"/>
        <v>29</v>
      </c>
      <c r="AT131" s="60">
        <f t="shared" si="6"/>
        <v>29</v>
      </c>
      <c r="AU131" s="63">
        <f t="shared" si="6"/>
        <v>38</v>
      </c>
      <c r="AV131" s="60">
        <f t="shared" si="6"/>
        <v>0</v>
      </c>
      <c r="AW131" s="60">
        <f t="shared" si="6"/>
        <v>0</v>
      </c>
      <c r="AX131" s="60">
        <f t="shared" si="6"/>
        <v>0</v>
      </c>
      <c r="AY131" s="62">
        <f t="shared" si="6"/>
        <v>0</v>
      </c>
      <c r="AZ131" s="60">
        <f t="shared" si="6"/>
        <v>0</v>
      </c>
      <c r="BA131" s="60">
        <f t="shared" si="6"/>
        <v>0</v>
      </c>
      <c r="BB131" s="60">
        <f t="shared" si="6"/>
        <v>0</v>
      </c>
      <c r="BC131" s="60">
        <f t="shared" si="6"/>
        <v>0</v>
      </c>
    </row>
    <row r="132">
      <c r="AE132" s="51"/>
      <c r="AG132" s="53"/>
      <c r="AR132" s="52"/>
      <c r="AU132" s="52"/>
      <c r="AY132" s="53"/>
    </row>
    <row r="133">
      <c r="AE133" s="51"/>
      <c r="AG133" s="53"/>
      <c r="AR133" s="52"/>
      <c r="AU133" s="52"/>
      <c r="AY133" s="53"/>
    </row>
    <row r="134">
      <c r="AE134" s="51"/>
      <c r="AG134" s="53"/>
      <c r="AR134" s="52"/>
      <c r="AU134" s="52"/>
      <c r="AY134" s="53"/>
    </row>
    <row r="135">
      <c r="AE135" s="51"/>
      <c r="AG135" s="53"/>
      <c r="AR135" s="52"/>
      <c r="AU135" s="52"/>
      <c r="AY135" s="53"/>
    </row>
    <row r="136">
      <c r="AE136" s="51"/>
      <c r="AG136" s="53"/>
      <c r="AR136" s="52"/>
      <c r="AU136" s="52"/>
      <c r="AY136" s="53"/>
    </row>
    <row r="137">
      <c r="AE137" s="51"/>
      <c r="AG137" s="53"/>
      <c r="AR137" s="52"/>
      <c r="AU137" s="52"/>
      <c r="AY137" s="53"/>
    </row>
    <row r="138">
      <c r="AE138" s="51"/>
      <c r="AG138" s="53"/>
      <c r="AR138" s="52"/>
      <c r="AU138" s="52"/>
      <c r="AY138" s="53"/>
    </row>
    <row r="139">
      <c r="AE139" s="51"/>
      <c r="AG139" s="53"/>
      <c r="AR139" s="52"/>
      <c r="AU139" s="52"/>
      <c r="AY139" s="53"/>
    </row>
    <row r="140">
      <c r="AE140" s="51"/>
      <c r="AG140" s="53"/>
      <c r="AR140" s="52"/>
      <c r="AU140" s="52"/>
      <c r="AY140" s="53"/>
    </row>
    <row r="141">
      <c r="AE141" s="51"/>
      <c r="AG141" s="53"/>
      <c r="AR141" s="52"/>
      <c r="AU141" s="52"/>
      <c r="AY141" s="53"/>
    </row>
    <row r="142">
      <c r="AE142" s="51"/>
      <c r="AG142" s="53"/>
      <c r="AR142" s="52"/>
      <c r="AU142" s="52"/>
      <c r="AY142" s="53"/>
    </row>
    <row r="143">
      <c r="AE143" s="51"/>
      <c r="AG143" s="53"/>
      <c r="AR143" s="52"/>
      <c r="AU143" s="52"/>
      <c r="AY143" s="53"/>
    </row>
    <row r="144">
      <c r="AE144" s="51"/>
      <c r="AG144" s="53"/>
      <c r="AR144" s="52"/>
      <c r="AU144" s="52"/>
      <c r="AY144" s="53"/>
    </row>
    <row r="145">
      <c r="AE145" s="51"/>
      <c r="AG145" s="53"/>
      <c r="AR145" s="52"/>
      <c r="AU145" s="52"/>
      <c r="AY145" s="53"/>
    </row>
    <row r="146">
      <c r="AE146" s="51"/>
      <c r="AG146" s="53"/>
      <c r="AR146" s="52"/>
      <c r="AU146" s="52"/>
      <c r="AY146" s="53"/>
    </row>
    <row r="147">
      <c r="AE147" s="51"/>
      <c r="AG147" s="53"/>
      <c r="AR147" s="52"/>
      <c r="AU147" s="52"/>
      <c r="AY147" s="53"/>
    </row>
    <row r="148">
      <c r="AE148" s="51"/>
      <c r="AG148" s="53"/>
      <c r="AR148" s="52"/>
      <c r="AU148" s="52"/>
      <c r="AY148" s="53"/>
    </row>
    <row r="149">
      <c r="AE149" s="51"/>
      <c r="AG149" s="53"/>
      <c r="AR149" s="52"/>
      <c r="AU149" s="52"/>
      <c r="AY149" s="53"/>
    </row>
    <row r="150">
      <c r="AE150" s="51"/>
      <c r="AG150" s="53"/>
      <c r="AR150" s="52"/>
      <c r="AU150" s="52"/>
      <c r="AY150" s="53"/>
    </row>
    <row r="151">
      <c r="AE151" s="51"/>
      <c r="AG151" s="53"/>
      <c r="AR151" s="52"/>
      <c r="AU151" s="52"/>
      <c r="AY151" s="53"/>
    </row>
    <row r="152">
      <c r="AE152" s="51"/>
      <c r="AG152" s="53"/>
      <c r="AR152" s="52"/>
      <c r="AU152" s="52"/>
      <c r="AY152" s="53"/>
    </row>
    <row r="153">
      <c r="AE153" s="51"/>
      <c r="AG153" s="53"/>
      <c r="AR153" s="52"/>
      <c r="AU153" s="52"/>
      <c r="AY153" s="53"/>
    </row>
    <row r="154">
      <c r="AE154" s="51"/>
      <c r="AG154" s="53"/>
      <c r="AR154" s="52"/>
      <c r="AU154" s="52"/>
      <c r="AY154" s="53"/>
    </row>
    <row r="155">
      <c r="AE155" s="51"/>
      <c r="AG155" s="53"/>
      <c r="AR155" s="52"/>
      <c r="AU155" s="52"/>
      <c r="AY155" s="53"/>
    </row>
    <row r="156">
      <c r="B156" s="85" t="s">
        <v>100</v>
      </c>
      <c r="AE156" s="51"/>
      <c r="AG156" s="53"/>
      <c r="AR156" s="52"/>
      <c r="AU156" s="52"/>
      <c r="AY156" s="53"/>
    </row>
    <row r="157">
      <c r="B157" s="86" t="s">
        <v>101</v>
      </c>
      <c r="AE157" s="51"/>
      <c r="AG157" s="53"/>
      <c r="AR157" s="52"/>
      <c r="AU157" s="52"/>
      <c r="AY157" s="53"/>
    </row>
    <row r="158">
      <c r="B158" s="86" t="s">
        <v>102</v>
      </c>
      <c r="AE158" s="51"/>
      <c r="AG158" s="53"/>
      <c r="AR158" s="52"/>
      <c r="AU158" s="52"/>
      <c r="AY158" s="53"/>
    </row>
    <row r="159">
      <c r="B159" s="87" t="s">
        <v>103</v>
      </c>
      <c r="AE159" s="51"/>
      <c r="AG159" s="53"/>
      <c r="AR159" s="52"/>
      <c r="AU159" s="52"/>
      <c r="AY159" s="53"/>
    </row>
    <row r="160">
      <c r="B160" s="87" t="s">
        <v>104</v>
      </c>
      <c r="AE160" s="51"/>
      <c r="AG160" s="53"/>
      <c r="AR160" s="52"/>
      <c r="AU160" s="52"/>
      <c r="AY160" s="53"/>
    </row>
    <row r="161">
      <c r="B161" s="87" t="s">
        <v>105</v>
      </c>
      <c r="AE161" s="51"/>
      <c r="AG161" s="53"/>
      <c r="AR161" s="52"/>
      <c r="AU161" s="52"/>
      <c r="AY161" s="53"/>
    </row>
    <row r="162">
      <c r="B162" s="87" t="s">
        <v>106</v>
      </c>
      <c r="AE162" s="51"/>
      <c r="AG162" s="53"/>
      <c r="AR162" s="52"/>
      <c r="AU162" s="52"/>
      <c r="AY162" s="53"/>
    </row>
    <row r="163">
      <c r="B163" s="87" t="s">
        <v>107</v>
      </c>
      <c r="AE163" s="51"/>
      <c r="AG163" s="53"/>
      <c r="AR163" s="52"/>
      <c r="AU163" s="52"/>
      <c r="AY163" s="53"/>
    </row>
    <row r="164">
      <c r="B164" s="87" t="s">
        <v>108</v>
      </c>
      <c r="AE164" s="51"/>
      <c r="AG164" s="53"/>
      <c r="AR164" s="52"/>
      <c r="AU164" s="52"/>
      <c r="AY164" s="53"/>
    </row>
    <row r="165">
      <c r="B165" s="88" t="s">
        <v>109</v>
      </c>
      <c r="AE165" s="51"/>
      <c r="AG165" s="53"/>
      <c r="AR165" s="52"/>
      <c r="AU165" s="52"/>
      <c r="AY165" s="53"/>
    </row>
    <row r="166">
      <c r="B166" s="88" t="s">
        <v>110</v>
      </c>
      <c r="AE166" s="51"/>
      <c r="AG166" s="53"/>
      <c r="AR166" s="52"/>
      <c r="AU166" s="52"/>
      <c r="AY166" s="53"/>
    </row>
    <row r="167">
      <c r="B167" s="87" t="s">
        <v>111</v>
      </c>
      <c r="AE167" s="51"/>
      <c r="AG167" s="53"/>
      <c r="AR167" s="52"/>
      <c r="AU167" s="52"/>
      <c r="AY167" s="53"/>
    </row>
    <row r="168">
      <c r="B168" s="87" t="s">
        <v>112</v>
      </c>
      <c r="AE168" s="51"/>
      <c r="AG168" s="53"/>
      <c r="AR168" s="52"/>
      <c r="AU168" s="52"/>
      <c r="AY168" s="53"/>
    </row>
    <row r="169">
      <c r="B169" s="89" t="s">
        <v>113</v>
      </c>
      <c r="AE169" s="51"/>
      <c r="AG169" s="53"/>
      <c r="AR169" s="52"/>
      <c r="AU169" s="52"/>
      <c r="AY169" s="53"/>
    </row>
    <row r="170">
      <c r="AE170" s="51"/>
      <c r="AG170" s="53"/>
      <c r="AR170" s="52"/>
      <c r="AU170" s="52"/>
      <c r="AY170" s="53"/>
    </row>
    <row r="171">
      <c r="AE171" s="51"/>
      <c r="AG171" s="53"/>
      <c r="AR171" s="52"/>
      <c r="AU171" s="52"/>
      <c r="AY171" s="53"/>
    </row>
    <row r="172">
      <c r="AE172" s="51"/>
      <c r="AG172" s="53"/>
      <c r="AR172" s="52"/>
      <c r="AU172" s="52"/>
      <c r="AY172" s="53"/>
    </row>
    <row r="173">
      <c r="AE173" s="51"/>
      <c r="AG173" s="53"/>
      <c r="AR173" s="52"/>
      <c r="AU173" s="52"/>
      <c r="AY173" s="53"/>
    </row>
    <row r="174">
      <c r="AE174" s="51"/>
      <c r="AG174" s="53"/>
      <c r="AR174" s="52"/>
      <c r="AU174" s="52"/>
      <c r="AY174" s="53"/>
    </row>
    <row r="175">
      <c r="AE175" s="51"/>
      <c r="AG175" s="53"/>
      <c r="AR175" s="52"/>
      <c r="AU175" s="52"/>
      <c r="AY175" s="53"/>
    </row>
    <row r="176">
      <c r="AE176" s="51"/>
      <c r="AG176" s="53"/>
      <c r="AR176" s="52"/>
      <c r="AU176" s="52"/>
      <c r="AY176" s="53"/>
    </row>
    <row r="177">
      <c r="AE177" s="51"/>
      <c r="AG177" s="53"/>
      <c r="AR177" s="52"/>
      <c r="AU177" s="52"/>
      <c r="AY177" s="53"/>
    </row>
    <row r="178">
      <c r="AE178" s="51"/>
      <c r="AG178" s="53"/>
      <c r="AR178" s="52"/>
      <c r="AU178" s="52"/>
      <c r="AY178" s="53"/>
    </row>
    <row r="179">
      <c r="AE179" s="51"/>
      <c r="AG179" s="53"/>
      <c r="AR179" s="52"/>
      <c r="AU179" s="52"/>
      <c r="AY179" s="53"/>
    </row>
    <row r="180">
      <c r="AE180" s="51"/>
      <c r="AG180" s="53"/>
      <c r="AR180" s="52"/>
      <c r="AU180" s="52"/>
      <c r="AY180" s="53"/>
    </row>
    <row r="181">
      <c r="AE181" s="51"/>
      <c r="AG181" s="53"/>
      <c r="AR181" s="52"/>
      <c r="AU181" s="52"/>
      <c r="AY181" s="53"/>
    </row>
    <row r="182">
      <c r="AE182" s="51"/>
      <c r="AG182" s="53"/>
      <c r="AR182" s="52"/>
      <c r="AU182" s="52"/>
      <c r="AY182" s="53"/>
    </row>
    <row r="183">
      <c r="AE183" s="51"/>
      <c r="AG183" s="53"/>
      <c r="AR183" s="52"/>
      <c r="AU183" s="52"/>
      <c r="AY183" s="53"/>
    </row>
    <row r="184">
      <c r="AE184" s="51"/>
      <c r="AG184" s="53"/>
      <c r="AR184" s="52"/>
      <c r="AU184" s="52"/>
      <c r="AY184" s="53"/>
    </row>
    <row r="185">
      <c r="AE185" s="51"/>
      <c r="AG185" s="53"/>
      <c r="AR185" s="52"/>
      <c r="AU185" s="52"/>
      <c r="AY185" s="53"/>
    </row>
    <row r="186">
      <c r="AE186" s="51"/>
      <c r="AG186" s="53"/>
      <c r="AR186" s="52"/>
      <c r="AU186" s="52"/>
      <c r="AY186" s="53"/>
    </row>
    <row r="187">
      <c r="AE187" s="51"/>
      <c r="AG187" s="53"/>
      <c r="AR187" s="52"/>
      <c r="AU187" s="52"/>
      <c r="AY187" s="53"/>
    </row>
    <row r="188">
      <c r="AE188" s="51"/>
      <c r="AG188" s="53"/>
      <c r="AR188" s="52"/>
      <c r="AU188" s="52"/>
      <c r="AY188" s="53"/>
    </row>
    <row r="189">
      <c r="AE189" s="51"/>
      <c r="AG189" s="53"/>
      <c r="AR189" s="52"/>
      <c r="AU189" s="52"/>
      <c r="AY189" s="53"/>
    </row>
    <row r="190">
      <c r="AE190" s="51"/>
      <c r="AG190" s="53"/>
      <c r="AR190" s="52"/>
      <c r="AU190" s="52"/>
      <c r="AY190" s="53"/>
    </row>
    <row r="191">
      <c r="AE191" s="51"/>
      <c r="AG191" s="53"/>
      <c r="AR191" s="52"/>
      <c r="AU191" s="52"/>
      <c r="AY191" s="53"/>
    </row>
    <row r="192">
      <c r="AE192" s="51"/>
      <c r="AG192" s="53"/>
      <c r="AR192" s="52"/>
      <c r="AU192" s="52"/>
      <c r="AY192" s="53"/>
    </row>
    <row r="193">
      <c r="AE193" s="51"/>
      <c r="AG193" s="53"/>
      <c r="AR193" s="52"/>
      <c r="AU193" s="52"/>
      <c r="AY193" s="53"/>
    </row>
    <row r="194">
      <c r="AE194" s="51"/>
      <c r="AG194" s="53"/>
      <c r="AR194" s="52"/>
      <c r="AU194" s="52"/>
      <c r="AY194" s="53"/>
    </row>
    <row r="195">
      <c r="AE195" s="51"/>
      <c r="AG195" s="53"/>
      <c r="AR195" s="52"/>
      <c r="AU195" s="52"/>
      <c r="AY195" s="53"/>
    </row>
    <row r="196">
      <c r="AE196" s="51"/>
      <c r="AG196" s="53"/>
      <c r="AR196" s="52"/>
      <c r="AU196" s="52"/>
      <c r="AY196" s="53"/>
    </row>
    <row r="197">
      <c r="AE197" s="51"/>
      <c r="AG197" s="53"/>
      <c r="AR197" s="52"/>
      <c r="AU197" s="52"/>
      <c r="AY197" s="53"/>
    </row>
    <row r="198">
      <c r="AE198" s="51"/>
      <c r="AG198" s="53"/>
      <c r="AR198" s="52"/>
      <c r="AU198" s="52"/>
      <c r="AY198" s="53"/>
    </row>
    <row r="199">
      <c r="AE199" s="51"/>
      <c r="AG199" s="53"/>
      <c r="AR199" s="52"/>
      <c r="AU199" s="52"/>
      <c r="AY199" s="53"/>
    </row>
    <row r="200">
      <c r="AE200" s="51"/>
      <c r="AG200" s="53"/>
      <c r="AR200" s="52"/>
      <c r="AU200" s="52"/>
      <c r="AY200" s="53"/>
    </row>
    <row r="201">
      <c r="AE201" s="51"/>
      <c r="AG201" s="53"/>
      <c r="AR201" s="52"/>
      <c r="AU201" s="52"/>
      <c r="AY201" s="53"/>
    </row>
    <row r="202">
      <c r="AE202" s="51"/>
      <c r="AG202" s="53"/>
      <c r="AR202" s="52"/>
      <c r="AU202" s="52"/>
      <c r="AY202" s="53"/>
    </row>
    <row r="203">
      <c r="AE203" s="51"/>
      <c r="AG203" s="53"/>
      <c r="AR203" s="52"/>
      <c r="AU203" s="52"/>
      <c r="AY203" s="53"/>
    </row>
    <row r="204">
      <c r="AE204" s="51"/>
      <c r="AG204" s="53"/>
      <c r="AR204" s="52"/>
      <c r="AU204" s="52"/>
      <c r="AY204" s="53"/>
    </row>
    <row r="205">
      <c r="AE205" s="51"/>
      <c r="AG205" s="53"/>
      <c r="AR205" s="52"/>
      <c r="AU205" s="52"/>
      <c r="AY205" s="53"/>
    </row>
    <row r="206">
      <c r="AE206" s="51"/>
      <c r="AG206" s="53"/>
      <c r="AR206" s="52"/>
      <c r="AU206" s="52"/>
      <c r="AY206" s="53"/>
    </row>
    <row r="207">
      <c r="AE207" s="51"/>
      <c r="AG207" s="53"/>
      <c r="AR207" s="52"/>
      <c r="AU207" s="52"/>
      <c r="AY207" s="53"/>
    </row>
    <row r="208">
      <c r="AE208" s="51"/>
      <c r="AG208" s="53"/>
      <c r="AR208" s="52"/>
      <c r="AU208" s="52"/>
      <c r="AY208" s="53"/>
    </row>
    <row r="209">
      <c r="AE209" s="51"/>
      <c r="AG209" s="53"/>
      <c r="AR209" s="52"/>
      <c r="AU209" s="52"/>
      <c r="AY209" s="53"/>
    </row>
    <row r="210">
      <c r="AE210" s="51"/>
      <c r="AG210" s="53"/>
      <c r="AR210" s="52"/>
      <c r="AU210" s="52"/>
      <c r="AY210" s="53"/>
    </row>
    <row r="211">
      <c r="AE211" s="51"/>
      <c r="AG211" s="53"/>
      <c r="AR211" s="52"/>
      <c r="AU211" s="52"/>
      <c r="AY211" s="53"/>
    </row>
    <row r="212">
      <c r="AE212" s="51"/>
      <c r="AG212" s="53"/>
      <c r="AR212" s="52"/>
      <c r="AU212" s="52"/>
      <c r="AY212" s="53"/>
    </row>
    <row r="213">
      <c r="AE213" s="51"/>
      <c r="AG213" s="53"/>
      <c r="AR213" s="52"/>
      <c r="AU213" s="52"/>
      <c r="AY213" s="53"/>
    </row>
    <row r="214">
      <c r="AE214" s="51"/>
      <c r="AG214" s="53"/>
      <c r="AR214" s="52"/>
      <c r="AU214" s="52"/>
      <c r="AY214" s="53"/>
    </row>
    <row r="215">
      <c r="AE215" s="51"/>
      <c r="AG215" s="53"/>
      <c r="AR215" s="52"/>
      <c r="AU215" s="52"/>
      <c r="AY215" s="53"/>
    </row>
    <row r="216">
      <c r="AE216" s="51"/>
      <c r="AG216" s="53"/>
      <c r="AR216" s="52"/>
      <c r="AU216" s="52"/>
      <c r="AY216" s="53"/>
    </row>
    <row r="217">
      <c r="AE217" s="51"/>
      <c r="AG217" s="53"/>
      <c r="AR217" s="52"/>
      <c r="AU217" s="52"/>
      <c r="AY217" s="53"/>
    </row>
    <row r="218">
      <c r="AE218" s="51"/>
      <c r="AG218" s="53"/>
      <c r="AR218" s="52"/>
      <c r="AU218" s="52"/>
      <c r="AY218" s="53"/>
    </row>
    <row r="219">
      <c r="AE219" s="51"/>
      <c r="AG219" s="53"/>
      <c r="AR219" s="52"/>
      <c r="AU219" s="52"/>
      <c r="AY219" s="53"/>
    </row>
    <row r="220">
      <c r="AE220" s="51"/>
      <c r="AG220" s="53"/>
      <c r="AR220" s="52"/>
      <c r="AU220" s="52"/>
      <c r="AY220" s="53"/>
    </row>
    <row r="221">
      <c r="AE221" s="51"/>
      <c r="AG221" s="53"/>
      <c r="AR221" s="52"/>
      <c r="AU221" s="52"/>
      <c r="AY221" s="53"/>
    </row>
    <row r="222">
      <c r="AE222" s="51"/>
      <c r="AG222" s="53"/>
      <c r="AR222" s="52"/>
      <c r="AU222" s="52"/>
      <c r="AY222" s="53"/>
    </row>
    <row r="223">
      <c r="AE223" s="51"/>
      <c r="AG223" s="53"/>
      <c r="AR223" s="52"/>
      <c r="AU223" s="52"/>
      <c r="AY223" s="53"/>
    </row>
    <row r="224">
      <c r="AE224" s="51"/>
      <c r="AG224" s="53"/>
      <c r="AR224" s="52"/>
      <c r="AU224" s="52"/>
      <c r="AY224" s="53"/>
    </row>
    <row r="225">
      <c r="AE225" s="51"/>
      <c r="AG225" s="53"/>
      <c r="AR225" s="52"/>
      <c r="AU225" s="52"/>
      <c r="AY225" s="53"/>
    </row>
    <row r="226">
      <c r="AE226" s="51"/>
      <c r="AG226" s="53"/>
      <c r="AR226" s="52"/>
      <c r="AU226" s="52"/>
      <c r="AY226" s="53"/>
    </row>
    <row r="227">
      <c r="AE227" s="51"/>
      <c r="AG227" s="53"/>
      <c r="AR227" s="52"/>
      <c r="AU227" s="52"/>
      <c r="AY227" s="53"/>
    </row>
    <row r="228">
      <c r="AE228" s="51"/>
      <c r="AG228" s="53"/>
      <c r="AR228" s="52"/>
      <c r="AU228" s="52"/>
      <c r="AY228" s="53"/>
    </row>
    <row r="229">
      <c r="AE229" s="51"/>
      <c r="AG229" s="53"/>
      <c r="AR229" s="52"/>
      <c r="AU229" s="52"/>
      <c r="AY229" s="53"/>
    </row>
    <row r="230">
      <c r="AE230" s="51"/>
      <c r="AG230" s="53"/>
      <c r="AR230" s="52"/>
      <c r="AU230" s="52"/>
      <c r="AY230" s="53"/>
    </row>
    <row r="231">
      <c r="AE231" s="51"/>
      <c r="AG231" s="53"/>
      <c r="AR231" s="52"/>
      <c r="AU231" s="52"/>
      <c r="AY231" s="53"/>
    </row>
    <row r="232">
      <c r="AE232" s="51"/>
      <c r="AG232" s="53"/>
      <c r="AR232" s="52"/>
      <c r="AU232" s="52"/>
      <c r="AY232" s="53"/>
    </row>
    <row r="233">
      <c r="AE233" s="51"/>
      <c r="AG233" s="53"/>
      <c r="AR233" s="52"/>
      <c r="AU233" s="52"/>
      <c r="AY233" s="53"/>
    </row>
    <row r="234">
      <c r="AE234" s="51"/>
      <c r="AG234" s="53"/>
      <c r="AR234" s="52"/>
      <c r="AU234" s="52"/>
      <c r="AY234" s="53"/>
    </row>
    <row r="235">
      <c r="AE235" s="51"/>
      <c r="AG235" s="53"/>
      <c r="AR235" s="52"/>
      <c r="AU235" s="52"/>
      <c r="AY235" s="53"/>
    </row>
    <row r="236">
      <c r="AE236" s="51"/>
      <c r="AG236" s="53"/>
      <c r="AR236" s="52"/>
      <c r="AU236" s="52"/>
      <c r="AY236" s="53"/>
    </row>
    <row r="237">
      <c r="AE237" s="51"/>
      <c r="AG237" s="53"/>
      <c r="AR237" s="52"/>
      <c r="AU237" s="52"/>
      <c r="AY237" s="53"/>
    </row>
    <row r="238">
      <c r="AE238" s="51"/>
      <c r="AG238" s="53"/>
      <c r="AR238" s="52"/>
      <c r="AU238" s="52"/>
      <c r="AY238" s="53"/>
    </row>
    <row r="239">
      <c r="AE239" s="51"/>
      <c r="AG239" s="53"/>
      <c r="AR239" s="52"/>
      <c r="AU239" s="52"/>
      <c r="AY239" s="53"/>
    </row>
    <row r="240">
      <c r="AE240" s="51"/>
      <c r="AG240" s="53"/>
      <c r="AR240" s="52"/>
      <c r="AU240" s="52"/>
      <c r="AY240" s="53"/>
    </row>
    <row r="241">
      <c r="AE241" s="51"/>
      <c r="AG241" s="53"/>
      <c r="AR241" s="52"/>
      <c r="AU241" s="52"/>
      <c r="AY241" s="53"/>
    </row>
    <row r="242">
      <c r="AE242" s="51"/>
      <c r="AG242" s="53"/>
      <c r="AR242" s="52"/>
      <c r="AU242" s="52"/>
      <c r="AY242" s="53"/>
    </row>
    <row r="243">
      <c r="AE243" s="51"/>
      <c r="AG243" s="53"/>
      <c r="AR243" s="52"/>
      <c r="AU243" s="52"/>
      <c r="AY243" s="53"/>
    </row>
    <row r="244">
      <c r="AE244" s="51"/>
      <c r="AG244" s="53"/>
      <c r="AR244" s="52"/>
      <c r="AU244" s="52"/>
      <c r="AY244" s="53"/>
    </row>
    <row r="245">
      <c r="AE245" s="51"/>
      <c r="AG245" s="53"/>
      <c r="AR245" s="52"/>
      <c r="AU245" s="52"/>
      <c r="AY245" s="53"/>
    </row>
    <row r="246">
      <c r="AE246" s="51"/>
      <c r="AG246" s="53"/>
      <c r="AR246" s="52"/>
      <c r="AU246" s="52"/>
      <c r="AY246" s="53"/>
    </row>
    <row r="247">
      <c r="AE247" s="51"/>
      <c r="AG247" s="53"/>
      <c r="AR247" s="52"/>
      <c r="AU247" s="52"/>
      <c r="AY247" s="53"/>
    </row>
    <row r="248">
      <c r="AE248" s="51"/>
      <c r="AG248" s="53"/>
      <c r="AR248" s="52"/>
      <c r="AU248" s="52"/>
      <c r="AY248" s="53"/>
    </row>
    <row r="249">
      <c r="AE249" s="51"/>
      <c r="AG249" s="53"/>
      <c r="AR249" s="52"/>
      <c r="AU249" s="52"/>
      <c r="AY249" s="53"/>
    </row>
    <row r="250">
      <c r="AE250" s="51"/>
      <c r="AG250" s="53"/>
      <c r="AR250" s="52"/>
      <c r="AU250" s="52"/>
      <c r="AY250" s="53"/>
    </row>
    <row r="251">
      <c r="AE251" s="51"/>
      <c r="AG251" s="53"/>
      <c r="AR251" s="52"/>
      <c r="AU251" s="52"/>
      <c r="AY251" s="53"/>
    </row>
    <row r="252">
      <c r="AE252" s="51"/>
      <c r="AG252" s="53"/>
      <c r="AR252" s="52"/>
      <c r="AU252" s="52"/>
      <c r="AY252" s="53"/>
    </row>
    <row r="253">
      <c r="AE253" s="51"/>
      <c r="AG253" s="53"/>
      <c r="AR253" s="52"/>
      <c r="AU253" s="52"/>
      <c r="AY253" s="53"/>
    </row>
    <row r="254">
      <c r="AE254" s="51"/>
      <c r="AG254" s="53"/>
      <c r="AR254" s="52"/>
      <c r="AU254" s="52"/>
      <c r="AY254" s="53"/>
    </row>
    <row r="255">
      <c r="AE255" s="51"/>
      <c r="AG255" s="53"/>
      <c r="AR255" s="52"/>
      <c r="AU255" s="52"/>
      <c r="AY255" s="53"/>
    </row>
    <row r="256">
      <c r="AE256" s="51"/>
      <c r="AG256" s="53"/>
      <c r="AR256" s="52"/>
      <c r="AU256" s="52"/>
      <c r="AY256" s="53"/>
    </row>
    <row r="257">
      <c r="AE257" s="51"/>
      <c r="AG257" s="53"/>
      <c r="AR257" s="52"/>
      <c r="AU257" s="52"/>
      <c r="AY257" s="53"/>
    </row>
    <row r="258">
      <c r="AE258" s="51"/>
      <c r="AG258" s="53"/>
      <c r="AR258" s="52"/>
      <c r="AU258" s="52"/>
      <c r="AY258" s="53"/>
    </row>
    <row r="259">
      <c r="AE259" s="51"/>
      <c r="AG259" s="53"/>
      <c r="AR259" s="52"/>
      <c r="AU259" s="52"/>
      <c r="AY259" s="53"/>
    </row>
    <row r="260">
      <c r="AE260" s="51"/>
      <c r="AG260" s="53"/>
      <c r="AR260" s="52"/>
      <c r="AU260" s="52"/>
      <c r="AY260" s="53"/>
    </row>
    <row r="261">
      <c r="AE261" s="51"/>
      <c r="AG261" s="53"/>
      <c r="AR261" s="52"/>
      <c r="AU261" s="52"/>
      <c r="AY261" s="53"/>
    </row>
    <row r="262">
      <c r="AE262" s="51"/>
      <c r="AG262" s="53"/>
      <c r="AR262" s="52"/>
      <c r="AU262" s="52"/>
      <c r="AY262" s="53"/>
    </row>
    <row r="263">
      <c r="AE263" s="51"/>
      <c r="AG263" s="53"/>
      <c r="AR263" s="52"/>
      <c r="AU263" s="52"/>
      <c r="AY263" s="53"/>
    </row>
    <row r="264">
      <c r="AE264" s="51"/>
      <c r="AG264" s="53"/>
      <c r="AR264" s="52"/>
      <c r="AU264" s="52"/>
      <c r="AY264" s="53"/>
    </row>
    <row r="265">
      <c r="AE265" s="51"/>
      <c r="AG265" s="53"/>
      <c r="AR265" s="52"/>
      <c r="AU265" s="52"/>
      <c r="AY265" s="53"/>
    </row>
    <row r="266">
      <c r="AE266" s="51"/>
      <c r="AG266" s="53"/>
      <c r="AR266" s="52"/>
      <c r="AU266" s="52"/>
      <c r="AY266" s="53"/>
    </row>
    <row r="267">
      <c r="AE267" s="51"/>
      <c r="AG267" s="53"/>
      <c r="AR267" s="52"/>
      <c r="AU267" s="52"/>
      <c r="AY267" s="53"/>
    </row>
    <row r="268">
      <c r="AE268" s="51"/>
      <c r="AG268" s="53"/>
      <c r="AR268" s="52"/>
      <c r="AU268" s="52"/>
      <c r="AY268" s="53"/>
    </row>
    <row r="269">
      <c r="AE269" s="51"/>
      <c r="AG269" s="53"/>
      <c r="AR269" s="52"/>
      <c r="AU269" s="52"/>
      <c r="AY269" s="53"/>
    </row>
    <row r="270">
      <c r="AE270" s="51"/>
      <c r="AG270" s="53"/>
      <c r="AR270" s="52"/>
      <c r="AU270" s="52"/>
      <c r="AY270" s="53"/>
    </row>
    <row r="271">
      <c r="AE271" s="51"/>
      <c r="AG271" s="53"/>
      <c r="AR271" s="52"/>
      <c r="AU271" s="52"/>
      <c r="AY271" s="53"/>
    </row>
    <row r="272">
      <c r="AE272" s="51"/>
      <c r="AG272" s="53"/>
      <c r="AR272" s="52"/>
      <c r="AU272" s="52"/>
      <c r="AY272" s="53"/>
    </row>
    <row r="273">
      <c r="AE273" s="51"/>
      <c r="AG273" s="53"/>
      <c r="AR273" s="52"/>
      <c r="AU273" s="52"/>
      <c r="AY273" s="53"/>
    </row>
    <row r="274">
      <c r="AE274" s="51"/>
      <c r="AG274" s="53"/>
      <c r="AR274" s="52"/>
      <c r="AU274" s="52"/>
      <c r="AY274" s="53"/>
    </row>
    <row r="275">
      <c r="AE275" s="51"/>
      <c r="AG275" s="53"/>
      <c r="AR275" s="52"/>
      <c r="AU275" s="52"/>
      <c r="AY275" s="53"/>
    </row>
    <row r="276">
      <c r="AE276" s="51"/>
      <c r="AG276" s="53"/>
      <c r="AR276" s="52"/>
      <c r="AU276" s="52"/>
      <c r="AY276" s="53"/>
    </row>
    <row r="277">
      <c r="AE277" s="51"/>
      <c r="AG277" s="53"/>
      <c r="AR277" s="52"/>
      <c r="AU277" s="52"/>
      <c r="AY277" s="53"/>
    </row>
    <row r="278">
      <c r="AE278" s="51"/>
      <c r="AG278" s="53"/>
      <c r="AR278" s="52"/>
      <c r="AU278" s="52"/>
      <c r="AY278" s="53"/>
    </row>
    <row r="279">
      <c r="AE279" s="51"/>
      <c r="AG279" s="53"/>
      <c r="AR279" s="52"/>
      <c r="AU279" s="52"/>
      <c r="AY279" s="53"/>
    </row>
    <row r="280">
      <c r="AE280" s="51"/>
      <c r="AG280" s="53"/>
      <c r="AR280" s="52"/>
      <c r="AU280" s="52"/>
      <c r="AY280" s="53"/>
    </row>
    <row r="281">
      <c r="AE281" s="51"/>
      <c r="AG281" s="53"/>
      <c r="AR281" s="52"/>
      <c r="AU281" s="52"/>
      <c r="AY281" s="53"/>
    </row>
    <row r="282">
      <c r="AE282" s="51"/>
      <c r="AG282" s="53"/>
      <c r="AR282" s="52"/>
      <c r="AU282" s="52"/>
      <c r="AY282" s="53"/>
    </row>
    <row r="283">
      <c r="AE283" s="51"/>
      <c r="AG283" s="53"/>
      <c r="AR283" s="52"/>
      <c r="AU283" s="52"/>
      <c r="AY283" s="53"/>
    </row>
    <row r="284">
      <c r="AE284" s="51"/>
      <c r="AG284" s="53"/>
      <c r="AR284" s="52"/>
      <c r="AU284" s="52"/>
      <c r="AY284" s="53"/>
    </row>
    <row r="285">
      <c r="AE285" s="51"/>
      <c r="AG285" s="53"/>
      <c r="AR285" s="52"/>
      <c r="AU285" s="52"/>
      <c r="AY285" s="53"/>
    </row>
    <row r="286">
      <c r="AE286" s="51"/>
      <c r="AG286" s="53"/>
      <c r="AR286" s="52"/>
      <c r="AU286" s="52"/>
      <c r="AY286" s="53"/>
    </row>
    <row r="287">
      <c r="AE287" s="51"/>
      <c r="AG287" s="53"/>
      <c r="AR287" s="52"/>
      <c r="AU287" s="52"/>
      <c r="AY287" s="53"/>
    </row>
    <row r="288">
      <c r="AE288" s="51"/>
      <c r="AG288" s="53"/>
      <c r="AR288" s="52"/>
      <c r="AU288" s="52"/>
      <c r="AY288" s="53"/>
    </row>
    <row r="289">
      <c r="AE289" s="51"/>
      <c r="AG289" s="53"/>
      <c r="AR289" s="52"/>
      <c r="AU289" s="52"/>
      <c r="AY289" s="53"/>
    </row>
    <row r="290">
      <c r="AE290" s="51"/>
      <c r="AG290" s="53"/>
      <c r="AR290" s="52"/>
      <c r="AU290" s="52"/>
      <c r="AY290" s="53"/>
    </row>
    <row r="291">
      <c r="AE291" s="51"/>
      <c r="AG291" s="53"/>
      <c r="AR291" s="52"/>
      <c r="AU291" s="52"/>
      <c r="AY291" s="53"/>
    </row>
    <row r="292">
      <c r="AE292" s="51"/>
      <c r="AG292" s="53"/>
      <c r="AR292" s="52"/>
      <c r="AU292" s="52"/>
      <c r="AY292" s="53"/>
    </row>
    <row r="293">
      <c r="AE293" s="51"/>
      <c r="AG293" s="53"/>
      <c r="AR293" s="52"/>
      <c r="AU293" s="52"/>
      <c r="AY293" s="53"/>
    </row>
    <row r="294">
      <c r="AE294" s="51"/>
      <c r="AG294" s="53"/>
      <c r="AR294" s="52"/>
      <c r="AU294" s="52"/>
      <c r="AY294" s="53"/>
    </row>
    <row r="295">
      <c r="AE295" s="51"/>
      <c r="AG295" s="53"/>
      <c r="AR295" s="52"/>
      <c r="AU295" s="52"/>
      <c r="AY295" s="53"/>
    </row>
    <row r="296">
      <c r="AE296" s="51"/>
      <c r="AG296" s="53"/>
      <c r="AR296" s="52"/>
      <c r="AU296" s="52"/>
      <c r="AY296" s="53"/>
    </row>
    <row r="297">
      <c r="AE297" s="51"/>
      <c r="AG297" s="53"/>
      <c r="AR297" s="52"/>
      <c r="AU297" s="52"/>
      <c r="AY297" s="53"/>
    </row>
    <row r="298">
      <c r="AE298" s="51"/>
      <c r="AG298" s="53"/>
      <c r="AR298" s="52"/>
      <c r="AU298" s="52"/>
      <c r="AY298" s="53"/>
    </row>
    <row r="299">
      <c r="AE299" s="51"/>
      <c r="AG299" s="53"/>
      <c r="AR299" s="52"/>
      <c r="AU299" s="52"/>
      <c r="AY299" s="53"/>
    </row>
    <row r="300">
      <c r="AE300" s="51"/>
      <c r="AG300" s="53"/>
      <c r="AR300" s="52"/>
      <c r="AU300" s="52"/>
      <c r="AY300" s="53"/>
    </row>
    <row r="301">
      <c r="AE301" s="51"/>
      <c r="AG301" s="53"/>
      <c r="AR301" s="52"/>
      <c r="AU301" s="52"/>
      <c r="AY301" s="53"/>
    </row>
    <row r="302">
      <c r="AE302" s="51"/>
      <c r="AG302" s="53"/>
      <c r="AR302" s="52"/>
      <c r="AU302" s="52"/>
      <c r="AY302" s="53"/>
    </row>
    <row r="303">
      <c r="AE303" s="51"/>
      <c r="AG303" s="53"/>
      <c r="AR303" s="52"/>
      <c r="AU303" s="52"/>
      <c r="AY303" s="53"/>
    </row>
    <row r="304">
      <c r="AE304" s="51"/>
      <c r="AG304" s="53"/>
      <c r="AR304" s="52"/>
      <c r="AU304" s="52"/>
      <c r="AY304" s="53"/>
    </row>
    <row r="305">
      <c r="AE305" s="51"/>
      <c r="AG305" s="53"/>
      <c r="AR305" s="52"/>
      <c r="AU305" s="52"/>
      <c r="AY305" s="53"/>
    </row>
    <row r="306">
      <c r="AE306" s="51"/>
      <c r="AG306" s="53"/>
      <c r="AR306" s="52"/>
      <c r="AU306" s="52"/>
      <c r="AY306" s="53"/>
    </row>
    <row r="307">
      <c r="AE307" s="51"/>
      <c r="AG307" s="53"/>
      <c r="AR307" s="52"/>
      <c r="AU307" s="52"/>
      <c r="AY307" s="53"/>
    </row>
    <row r="308">
      <c r="AE308" s="51"/>
      <c r="AG308" s="53"/>
      <c r="AR308" s="52"/>
      <c r="AU308" s="52"/>
      <c r="AY308" s="53"/>
    </row>
    <row r="309">
      <c r="AE309" s="51"/>
      <c r="AG309" s="53"/>
      <c r="AR309" s="52"/>
      <c r="AU309" s="52"/>
      <c r="AY309" s="53"/>
    </row>
    <row r="310">
      <c r="AE310" s="51"/>
      <c r="AG310" s="53"/>
      <c r="AR310" s="52"/>
      <c r="AU310" s="52"/>
      <c r="AY310" s="53"/>
    </row>
    <row r="311">
      <c r="AE311" s="51"/>
      <c r="AG311" s="53"/>
      <c r="AR311" s="52"/>
      <c r="AU311" s="52"/>
      <c r="AY311" s="53"/>
    </row>
    <row r="312">
      <c r="AE312" s="51"/>
      <c r="AG312" s="53"/>
      <c r="AR312" s="52"/>
      <c r="AU312" s="52"/>
      <c r="AY312" s="53"/>
    </row>
    <row r="313">
      <c r="AE313" s="51"/>
      <c r="AG313" s="53"/>
      <c r="AR313" s="52"/>
      <c r="AU313" s="52"/>
      <c r="AY313" s="53"/>
    </row>
    <row r="314">
      <c r="AE314" s="51"/>
      <c r="AG314" s="53"/>
      <c r="AR314" s="52"/>
      <c r="AU314" s="52"/>
      <c r="AY314" s="53"/>
    </row>
    <row r="315">
      <c r="AE315" s="51"/>
      <c r="AG315" s="53"/>
      <c r="AR315" s="52"/>
      <c r="AU315" s="52"/>
      <c r="AY315" s="53"/>
    </row>
    <row r="316">
      <c r="AE316" s="51"/>
      <c r="AG316" s="53"/>
      <c r="AR316" s="52"/>
      <c r="AU316" s="52"/>
      <c r="AY316" s="53"/>
    </row>
    <row r="317">
      <c r="AE317" s="51"/>
      <c r="AG317" s="53"/>
      <c r="AR317" s="52"/>
      <c r="AU317" s="52"/>
      <c r="AY317" s="53"/>
    </row>
    <row r="318">
      <c r="AE318" s="51"/>
      <c r="AG318" s="53"/>
      <c r="AR318" s="52"/>
      <c r="AU318" s="52"/>
      <c r="AY318" s="53"/>
    </row>
    <row r="319">
      <c r="AE319" s="51"/>
      <c r="AG319" s="53"/>
      <c r="AR319" s="52"/>
      <c r="AU319" s="52"/>
      <c r="AY319" s="53"/>
    </row>
    <row r="320">
      <c r="AE320" s="51"/>
      <c r="AG320" s="53"/>
      <c r="AR320" s="52"/>
      <c r="AU320" s="52"/>
      <c r="AY320" s="53"/>
    </row>
    <row r="321">
      <c r="AE321" s="51"/>
      <c r="AG321" s="53"/>
      <c r="AR321" s="52"/>
      <c r="AU321" s="52"/>
      <c r="AY321" s="53"/>
    </row>
    <row r="322">
      <c r="AE322" s="51"/>
      <c r="AG322" s="53"/>
      <c r="AR322" s="52"/>
      <c r="AU322" s="52"/>
      <c r="AY322" s="53"/>
    </row>
    <row r="323">
      <c r="AE323" s="51"/>
      <c r="AG323" s="53"/>
      <c r="AR323" s="52"/>
      <c r="AU323" s="52"/>
      <c r="AY323" s="53"/>
    </row>
    <row r="324">
      <c r="AE324" s="51"/>
      <c r="AG324" s="53"/>
      <c r="AR324" s="52"/>
      <c r="AU324" s="52"/>
      <c r="AY324" s="53"/>
    </row>
    <row r="325">
      <c r="AE325" s="51"/>
      <c r="AG325" s="53"/>
      <c r="AR325" s="52"/>
      <c r="AU325" s="52"/>
      <c r="AY325" s="53"/>
    </row>
    <row r="326">
      <c r="AE326" s="51"/>
      <c r="AG326" s="53"/>
      <c r="AR326" s="52"/>
      <c r="AU326" s="52"/>
      <c r="AY326" s="53"/>
    </row>
    <row r="327">
      <c r="AE327" s="51"/>
      <c r="AG327" s="53"/>
      <c r="AR327" s="52"/>
      <c r="AU327" s="52"/>
      <c r="AY327" s="53"/>
    </row>
    <row r="328">
      <c r="AE328" s="51"/>
      <c r="AG328" s="53"/>
      <c r="AR328" s="52"/>
      <c r="AU328" s="52"/>
      <c r="AY328" s="53"/>
    </row>
    <row r="329">
      <c r="AE329" s="51"/>
      <c r="AG329" s="53"/>
      <c r="AR329" s="52"/>
      <c r="AU329" s="52"/>
      <c r="AY329" s="53"/>
    </row>
    <row r="330">
      <c r="AE330" s="51"/>
      <c r="AG330" s="53"/>
      <c r="AR330" s="52"/>
      <c r="AU330" s="52"/>
      <c r="AY330" s="53"/>
    </row>
    <row r="331">
      <c r="AE331" s="51"/>
      <c r="AG331" s="53"/>
      <c r="AR331" s="52"/>
      <c r="AU331" s="52"/>
      <c r="AY331" s="53"/>
    </row>
    <row r="332">
      <c r="AE332" s="51"/>
      <c r="AG332" s="53"/>
      <c r="AR332" s="52"/>
      <c r="AU332" s="52"/>
      <c r="AY332" s="53"/>
    </row>
    <row r="333">
      <c r="AE333" s="51"/>
      <c r="AG333" s="53"/>
      <c r="AR333" s="52"/>
      <c r="AU333" s="52"/>
      <c r="AY333" s="53"/>
    </row>
    <row r="334">
      <c r="AE334" s="51"/>
      <c r="AG334" s="53"/>
      <c r="AR334" s="52"/>
      <c r="AU334" s="52"/>
      <c r="AY334" s="53"/>
    </row>
    <row r="335">
      <c r="AE335" s="51"/>
      <c r="AG335" s="53"/>
      <c r="AR335" s="52"/>
      <c r="AU335" s="52"/>
      <c r="AY335" s="53"/>
    </row>
    <row r="336">
      <c r="AE336" s="51"/>
      <c r="AG336" s="53"/>
      <c r="AR336" s="52"/>
      <c r="AU336" s="52"/>
      <c r="AY336" s="53"/>
    </row>
    <row r="337">
      <c r="AE337" s="51"/>
      <c r="AG337" s="53"/>
      <c r="AR337" s="52"/>
      <c r="AU337" s="52"/>
      <c r="AY337" s="53"/>
    </row>
    <row r="338">
      <c r="AE338" s="51"/>
      <c r="AG338" s="53"/>
      <c r="AR338" s="52"/>
      <c r="AU338" s="52"/>
      <c r="AY338" s="53"/>
    </row>
    <row r="339">
      <c r="AE339" s="51"/>
      <c r="AG339" s="53"/>
      <c r="AR339" s="52"/>
      <c r="AU339" s="52"/>
      <c r="AY339" s="53"/>
    </row>
    <row r="340">
      <c r="AE340" s="51"/>
      <c r="AG340" s="53"/>
      <c r="AR340" s="52"/>
      <c r="AU340" s="52"/>
      <c r="AY340" s="53"/>
    </row>
    <row r="341">
      <c r="AE341" s="51"/>
      <c r="AG341" s="53"/>
      <c r="AR341" s="52"/>
      <c r="AU341" s="52"/>
      <c r="AY341" s="53"/>
    </row>
    <row r="342">
      <c r="AE342" s="51"/>
      <c r="AG342" s="53"/>
      <c r="AR342" s="52"/>
      <c r="AU342" s="52"/>
      <c r="AY342" s="53"/>
    </row>
    <row r="343">
      <c r="AE343" s="51"/>
      <c r="AG343" s="53"/>
      <c r="AR343" s="52"/>
      <c r="AU343" s="52"/>
      <c r="AY343" s="53"/>
    </row>
    <row r="344">
      <c r="AE344" s="51"/>
      <c r="AG344" s="53"/>
      <c r="AR344" s="52"/>
      <c r="AU344" s="52"/>
      <c r="AY344" s="53"/>
    </row>
    <row r="345">
      <c r="AE345" s="51"/>
      <c r="AG345" s="53"/>
      <c r="AR345" s="52"/>
      <c r="AU345" s="52"/>
      <c r="AY345" s="53"/>
    </row>
    <row r="346">
      <c r="AE346" s="51"/>
      <c r="AG346" s="53"/>
      <c r="AR346" s="52"/>
      <c r="AU346" s="52"/>
      <c r="AY346" s="53"/>
    </row>
    <row r="347">
      <c r="AE347" s="51"/>
      <c r="AG347" s="53"/>
      <c r="AR347" s="52"/>
      <c r="AU347" s="52"/>
      <c r="AY347" s="53"/>
    </row>
    <row r="348">
      <c r="AE348" s="51"/>
      <c r="AG348" s="53"/>
      <c r="AR348" s="52"/>
      <c r="AU348" s="52"/>
      <c r="AY348" s="53"/>
    </row>
    <row r="349">
      <c r="AE349" s="51"/>
      <c r="AG349" s="53"/>
      <c r="AR349" s="52"/>
      <c r="AU349" s="52"/>
      <c r="AY349" s="53"/>
    </row>
    <row r="350">
      <c r="AE350" s="51"/>
      <c r="AG350" s="53"/>
      <c r="AR350" s="52"/>
      <c r="AU350" s="52"/>
      <c r="AY350" s="53"/>
    </row>
    <row r="351">
      <c r="AE351" s="51"/>
      <c r="AG351" s="53"/>
      <c r="AR351" s="52"/>
      <c r="AU351" s="52"/>
      <c r="AY351" s="53"/>
    </row>
    <row r="352">
      <c r="AE352" s="51"/>
      <c r="AG352" s="53"/>
      <c r="AR352" s="52"/>
      <c r="AU352" s="52"/>
      <c r="AY352" s="53"/>
    </row>
    <row r="353">
      <c r="AE353" s="51"/>
      <c r="AG353" s="53"/>
      <c r="AR353" s="52"/>
      <c r="AU353" s="52"/>
      <c r="AY353" s="53"/>
    </row>
    <row r="354">
      <c r="AE354" s="51"/>
      <c r="AG354" s="53"/>
      <c r="AR354" s="52"/>
      <c r="AU354" s="52"/>
      <c r="AY354" s="53"/>
    </row>
    <row r="355">
      <c r="AE355" s="51"/>
      <c r="AG355" s="53"/>
      <c r="AR355" s="52"/>
      <c r="AU355" s="52"/>
      <c r="AY355" s="53"/>
    </row>
    <row r="356">
      <c r="AE356" s="51"/>
      <c r="AG356" s="53"/>
      <c r="AR356" s="52"/>
      <c r="AU356" s="52"/>
      <c r="AY356" s="53"/>
    </row>
    <row r="357">
      <c r="AE357" s="51"/>
      <c r="AG357" s="53"/>
      <c r="AR357" s="52"/>
      <c r="AU357" s="52"/>
      <c r="AY357" s="53"/>
    </row>
    <row r="358">
      <c r="AE358" s="51"/>
      <c r="AG358" s="53"/>
      <c r="AR358" s="52"/>
      <c r="AU358" s="52"/>
      <c r="AY358" s="53"/>
    </row>
    <row r="359">
      <c r="AE359" s="51"/>
      <c r="AG359" s="53"/>
      <c r="AR359" s="52"/>
      <c r="AU359" s="52"/>
      <c r="AY359" s="53"/>
    </row>
    <row r="360">
      <c r="AE360" s="51"/>
      <c r="AG360" s="53"/>
      <c r="AR360" s="52"/>
      <c r="AU360" s="52"/>
      <c r="AY360" s="53"/>
    </row>
    <row r="361">
      <c r="AE361" s="51"/>
      <c r="AG361" s="53"/>
      <c r="AR361" s="52"/>
      <c r="AU361" s="52"/>
      <c r="AY361" s="53"/>
    </row>
    <row r="362">
      <c r="AE362" s="51"/>
      <c r="AG362" s="53"/>
      <c r="AR362" s="52"/>
      <c r="AU362" s="52"/>
      <c r="AY362" s="53"/>
    </row>
    <row r="363">
      <c r="AE363" s="51"/>
      <c r="AG363" s="53"/>
      <c r="AR363" s="52"/>
      <c r="AU363" s="52"/>
      <c r="AY363" s="53"/>
    </row>
    <row r="364">
      <c r="AE364" s="51"/>
      <c r="AG364" s="53"/>
      <c r="AR364" s="52"/>
      <c r="AU364" s="52"/>
      <c r="AY364" s="53"/>
    </row>
    <row r="365">
      <c r="AE365" s="51"/>
      <c r="AG365" s="53"/>
      <c r="AR365" s="52"/>
      <c r="AU365" s="52"/>
      <c r="AY365" s="53"/>
    </row>
    <row r="366">
      <c r="AE366" s="51"/>
      <c r="AG366" s="53"/>
      <c r="AR366" s="52"/>
      <c r="AU366" s="52"/>
      <c r="AY366" s="53"/>
    </row>
    <row r="367">
      <c r="AE367" s="51"/>
      <c r="AG367" s="53"/>
      <c r="AR367" s="52"/>
      <c r="AU367" s="52"/>
      <c r="AY367" s="53"/>
    </row>
    <row r="368">
      <c r="AE368" s="51"/>
      <c r="AG368" s="53"/>
      <c r="AR368" s="52"/>
      <c r="AU368" s="52"/>
      <c r="AY368" s="53"/>
    </row>
    <row r="369">
      <c r="AE369" s="51"/>
      <c r="AG369" s="53"/>
      <c r="AR369" s="52"/>
      <c r="AU369" s="52"/>
      <c r="AY369" s="53"/>
    </row>
    <row r="370">
      <c r="AE370" s="51"/>
      <c r="AG370" s="53"/>
      <c r="AR370" s="52"/>
      <c r="AU370" s="52"/>
      <c r="AY370" s="53"/>
    </row>
    <row r="371">
      <c r="AE371" s="51"/>
      <c r="AG371" s="53"/>
      <c r="AR371" s="52"/>
      <c r="AU371" s="52"/>
      <c r="AY371" s="53"/>
    </row>
    <row r="372">
      <c r="AE372" s="51"/>
      <c r="AG372" s="53"/>
      <c r="AR372" s="52"/>
      <c r="AU372" s="52"/>
      <c r="AY372" s="53"/>
    </row>
    <row r="373">
      <c r="AE373" s="51"/>
      <c r="AG373" s="53"/>
      <c r="AR373" s="52"/>
      <c r="AU373" s="52"/>
      <c r="AY373" s="53"/>
    </row>
    <row r="374">
      <c r="AE374" s="51"/>
      <c r="AG374" s="53"/>
      <c r="AR374" s="52"/>
      <c r="AU374" s="52"/>
      <c r="AY374" s="53"/>
    </row>
    <row r="375">
      <c r="AE375" s="51"/>
      <c r="AG375" s="53"/>
      <c r="AR375" s="52"/>
      <c r="AU375" s="52"/>
      <c r="AY375" s="53"/>
    </row>
    <row r="376">
      <c r="AE376" s="51"/>
      <c r="AG376" s="53"/>
      <c r="AR376" s="52"/>
      <c r="AU376" s="52"/>
      <c r="AY376" s="53"/>
    </row>
    <row r="377">
      <c r="AE377" s="51"/>
      <c r="AG377" s="53"/>
      <c r="AR377" s="52"/>
      <c r="AU377" s="52"/>
      <c r="AY377" s="53"/>
    </row>
    <row r="378">
      <c r="AE378" s="51"/>
      <c r="AG378" s="53"/>
      <c r="AR378" s="52"/>
      <c r="AU378" s="52"/>
      <c r="AY378" s="53"/>
    </row>
    <row r="379">
      <c r="AE379" s="51"/>
      <c r="AG379" s="53"/>
      <c r="AR379" s="52"/>
      <c r="AU379" s="52"/>
      <c r="AY379" s="53"/>
    </row>
    <row r="380">
      <c r="AE380" s="51"/>
      <c r="AG380" s="53"/>
      <c r="AR380" s="52"/>
      <c r="AU380" s="52"/>
      <c r="AY380" s="53"/>
    </row>
    <row r="381">
      <c r="AE381" s="51"/>
      <c r="AG381" s="53"/>
      <c r="AR381" s="52"/>
      <c r="AU381" s="52"/>
      <c r="AY381" s="53"/>
    </row>
    <row r="382">
      <c r="AE382" s="51"/>
      <c r="AG382" s="53"/>
      <c r="AR382" s="52"/>
      <c r="AU382" s="52"/>
      <c r="AY382" s="53"/>
    </row>
    <row r="383">
      <c r="AE383" s="51"/>
      <c r="AG383" s="53"/>
      <c r="AR383" s="52"/>
      <c r="AU383" s="52"/>
      <c r="AY383" s="53"/>
    </row>
    <row r="384">
      <c r="AE384" s="51"/>
      <c r="AG384" s="53"/>
      <c r="AR384" s="52"/>
      <c r="AU384" s="52"/>
      <c r="AY384" s="53"/>
    </row>
    <row r="385">
      <c r="AE385" s="51"/>
      <c r="AG385" s="53"/>
      <c r="AR385" s="52"/>
      <c r="AU385" s="52"/>
      <c r="AY385" s="53"/>
    </row>
    <row r="386">
      <c r="AE386" s="51"/>
      <c r="AG386" s="53"/>
      <c r="AR386" s="52"/>
      <c r="AU386" s="52"/>
      <c r="AY386" s="53"/>
    </row>
    <row r="387">
      <c r="AE387" s="51"/>
      <c r="AG387" s="53"/>
      <c r="AR387" s="52"/>
      <c r="AU387" s="52"/>
      <c r="AY387" s="53"/>
    </row>
    <row r="388">
      <c r="AE388" s="51"/>
      <c r="AG388" s="53"/>
      <c r="AR388" s="52"/>
      <c r="AU388" s="52"/>
      <c r="AY388" s="53"/>
    </row>
    <row r="389">
      <c r="AE389" s="51"/>
      <c r="AG389" s="53"/>
      <c r="AR389" s="52"/>
      <c r="AU389" s="52"/>
      <c r="AY389" s="53"/>
    </row>
    <row r="390">
      <c r="AE390" s="51"/>
      <c r="AG390" s="53"/>
      <c r="AR390" s="52"/>
      <c r="AU390" s="52"/>
      <c r="AY390" s="53"/>
    </row>
    <row r="391">
      <c r="AE391" s="51"/>
      <c r="AG391" s="53"/>
      <c r="AR391" s="52"/>
      <c r="AU391" s="52"/>
      <c r="AY391" s="53"/>
    </row>
    <row r="392">
      <c r="AE392" s="51"/>
      <c r="AG392" s="53"/>
      <c r="AR392" s="52"/>
      <c r="AU392" s="52"/>
      <c r="AY392" s="53"/>
    </row>
    <row r="393">
      <c r="AE393" s="51"/>
      <c r="AG393" s="53"/>
      <c r="AR393" s="52"/>
      <c r="AU393" s="52"/>
      <c r="AY393" s="53"/>
    </row>
    <row r="394">
      <c r="AE394" s="51"/>
      <c r="AG394" s="53"/>
      <c r="AR394" s="52"/>
      <c r="AU394" s="52"/>
      <c r="AY394" s="53"/>
    </row>
    <row r="395">
      <c r="AE395" s="51"/>
      <c r="AG395" s="53"/>
      <c r="AR395" s="52"/>
      <c r="AU395" s="52"/>
      <c r="AY395" s="53"/>
    </row>
    <row r="396">
      <c r="AE396" s="51"/>
      <c r="AG396" s="53"/>
      <c r="AR396" s="52"/>
      <c r="AU396" s="52"/>
      <c r="AY396" s="53"/>
    </row>
    <row r="397">
      <c r="AE397" s="51"/>
      <c r="AG397" s="53"/>
      <c r="AR397" s="52"/>
      <c r="AU397" s="52"/>
      <c r="AY397" s="53"/>
    </row>
    <row r="398">
      <c r="AE398" s="51"/>
      <c r="AG398" s="53"/>
      <c r="AR398" s="52"/>
      <c r="AU398" s="52"/>
      <c r="AY398" s="53"/>
    </row>
    <row r="399">
      <c r="AE399" s="51"/>
      <c r="AG399" s="53"/>
      <c r="AR399" s="52"/>
      <c r="AU399" s="52"/>
      <c r="AY399" s="53"/>
    </row>
    <row r="400">
      <c r="AE400" s="51"/>
      <c r="AG400" s="53"/>
      <c r="AR400" s="52"/>
      <c r="AU400" s="52"/>
      <c r="AY400" s="53"/>
    </row>
    <row r="401">
      <c r="AE401" s="51"/>
      <c r="AG401" s="53"/>
      <c r="AR401" s="52"/>
      <c r="AU401" s="52"/>
      <c r="AY401" s="53"/>
    </row>
    <row r="402">
      <c r="AE402" s="51"/>
      <c r="AG402" s="53"/>
      <c r="AR402" s="52"/>
      <c r="AU402" s="52"/>
      <c r="AY402" s="53"/>
    </row>
    <row r="403">
      <c r="AE403" s="51"/>
      <c r="AG403" s="53"/>
      <c r="AR403" s="52"/>
      <c r="AU403" s="52"/>
      <c r="AY403" s="53"/>
    </row>
    <row r="404">
      <c r="AE404" s="51"/>
      <c r="AG404" s="53"/>
      <c r="AR404" s="52"/>
      <c r="AU404" s="52"/>
      <c r="AY404" s="53"/>
    </row>
    <row r="405">
      <c r="AE405" s="51"/>
      <c r="AG405" s="53"/>
      <c r="AR405" s="52"/>
      <c r="AU405" s="52"/>
      <c r="AY405" s="53"/>
    </row>
    <row r="406">
      <c r="AE406" s="51"/>
      <c r="AG406" s="53"/>
      <c r="AR406" s="52"/>
      <c r="AU406" s="52"/>
      <c r="AY406" s="53"/>
    </row>
    <row r="407">
      <c r="AE407" s="51"/>
      <c r="AG407" s="53"/>
      <c r="AR407" s="52"/>
      <c r="AU407" s="52"/>
      <c r="AY407" s="53"/>
    </row>
    <row r="408">
      <c r="AE408" s="51"/>
      <c r="AG408" s="53"/>
      <c r="AR408" s="52"/>
      <c r="AU408" s="52"/>
      <c r="AY408" s="53"/>
    </row>
    <row r="409">
      <c r="AE409" s="51"/>
      <c r="AG409" s="53"/>
      <c r="AR409" s="52"/>
      <c r="AU409" s="52"/>
      <c r="AY409" s="53"/>
    </row>
    <row r="410">
      <c r="AE410" s="51"/>
      <c r="AG410" s="53"/>
      <c r="AR410" s="52"/>
      <c r="AU410" s="52"/>
      <c r="AY410" s="53"/>
    </row>
    <row r="411">
      <c r="AE411" s="51"/>
      <c r="AG411" s="53"/>
      <c r="AR411" s="52"/>
      <c r="AU411" s="52"/>
      <c r="AY411" s="53"/>
    </row>
    <row r="412">
      <c r="AE412" s="51"/>
      <c r="AG412" s="53"/>
      <c r="AR412" s="52"/>
      <c r="AU412" s="52"/>
      <c r="AY412" s="53"/>
    </row>
    <row r="413">
      <c r="AE413" s="51"/>
      <c r="AG413" s="53"/>
      <c r="AR413" s="52"/>
      <c r="AU413" s="52"/>
      <c r="AY413" s="53"/>
    </row>
    <row r="414">
      <c r="AE414" s="51"/>
      <c r="AG414" s="53"/>
      <c r="AR414" s="52"/>
      <c r="AU414" s="52"/>
      <c r="AY414" s="53"/>
    </row>
    <row r="415">
      <c r="AE415" s="51"/>
      <c r="AG415" s="53"/>
      <c r="AR415" s="52"/>
      <c r="AU415" s="52"/>
      <c r="AY415" s="53"/>
    </row>
    <row r="416">
      <c r="AE416" s="51"/>
      <c r="AG416" s="53"/>
      <c r="AR416" s="52"/>
      <c r="AU416" s="52"/>
      <c r="AY416" s="53"/>
    </row>
    <row r="417">
      <c r="AE417" s="51"/>
      <c r="AG417" s="53"/>
      <c r="AR417" s="52"/>
      <c r="AU417" s="52"/>
      <c r="AY417" s="53"/>
    </row>
    <row r="418">
      <c r="AE418" s="51"/>
      <c r="AG418" s="53"/>
      <c r="AR418" s="52"/>
      <c r="AU418" s="52"/>
      <c r="AY418" s="53"/>
    </row>
    <row r="419">
      <c r="AE419" s="51"/>
      <c r="AG419" s="53"/>
      <c r="AR419" s="52"/>
      <c r="AU419" s="52"/>
      <c r="AY419" s="53"/>
    </row>
    <row r="420">
      <c r="AE420" s="51"/>
      <c r="AG420" s="53"/>
      <c r="AR420" s="52"/>
      <c r="AU420" s="52"/>
      <c r="AY420" s="53"/>
    </row>
    <row r="421">
      <c r="AE421" s="51"/>
      <c r="AG421" s="53"/>
      <c r="AR421" s="52"/>
      <c r="AU421" s="52"/>
      <c r="AY421" s="53"/>
    </row>
    <row r="422">
      <c r="AE422" s="51"/>
      <c r="AG422" s="53"/>
      <c r="AR422" s="52"/>
      <c r="AU422" s="52"/>
      <c r="AY422" s="53"/>
    </row>
    <row r="423">
      <c r="AE423" s="51"/>
      <c r="AG423" s="53"/>
      <c r="AR423" s="52"/>
      <c r="AU423" s="52"/>
      <c r="AY423" s="53"/>
    </row>
    <row r="424">
      <c r="AE424" s="51"/>
      <c r="AG424" s="53"/>
      <c r="AR424" s="52"/>
      <c r="AU424" s="52"/>
      <c r="AY424" s="53"/>
    </row>
    <row r="425">
      <c r="AE425" s="51"/>
      <c r="AG425" s="53"/>
      <c r="AR425" s="52"/>
      <c r="AU425" s="52"/>
      <c r="AY425" s="53"/>
    </row>
    <row r="426">
      <c r="AE426" s="51"/>
      <c r="AG426" s="53"/>
      <c r="AR426" s="52"/>
      <c r="AU426" s="52"/>
      <c r="AY426" s="53"/>
    </row>
    <row r="427">
      <c r="AE427" s="51"/>
      <c r="AG427" s="53"/>
      <c r="AR427" s="52"/>
      <c r="AU427" s="52"/>
      <c r="AY427" s="53"/>
    </row>
    <row r="428">
      <c r="AE428" s="51"/>
      <c r="AG428" s="53"/>
      <c r="AR428" s="52"/>
      <c r="AU428" s="52"/>
      <c r="AY428" s="53"/>
    </row>
    <row r="429">
      <c r="AE429" s="51"/>
      <c r="AG429" s="53"/>
      <c r="AR429" s="52"/>
      <c r="AU429" s="52"/>
      <c r="AY429" s="53"/>
    </row>
    <row r="430">
      <c r="AE430" s="51"/>
      <c r="AG430" s="53"/>
      <c r="AR430" s="52"/>
      <c r="AU430" s="52"/>
      <c r="AY430" s="53"/>
    </row>
    <row r="431">
      <c r="AE431" s="51"/>
      <c r="AG431" s="53"/>
      <c r="AR431" s="52"/>
      <c r="AU431" s="52"/>
      <c r="AY431" s="53"/>
    </row>
    <row r="432">
      <c r="AE432" s="51"/>
      <c r="AG432" s="53"/>
      <c r="AR432" s="52"/>
      <c r="AU432" s="52"/>
      <c r="AY432" s="53"/>
    </row>
    <row r="433">
      <c r="AE433" s="51"/>
      <c r="AG433" s="53"/>
      <c r="AR433" s="52"/>
      <c r="AU433" s="52"/>
      <c r="AY433" s="53"/>
    </row>
    <row r="434">
      <c r="AE434" s="51"/>
      <c r="AG434" s="53"/>
      <c r="AR434" s="52"/>
      <c r="AU434" s="52"/>
      <c r="AY434" s="53"/>
    </row>
    <row r="435">
      <c r="AE435" s="51"/>
      <c r="AG435" s="53"/>
      <c r="AR435" s="52"/>
      <c r="AU435" s="52"/>
      <c r="AY435" s="53"/>
    </row>
    <row r="436">
      <c r="AE436" s="51"/>
      <c r="AG436" s="53"/>
      <c r="AR436" s="52"/>
      <c r="AU436" s="52"/>
      <c r="AY436" s="53"/>
    </row>
    <row r="437">
      <c r="AE437" s="51"/>
      <c r="AG437" s="53"/>
      <c r="AR437" s="52"/>
      <c r="AU437" s="52"/>
      <c r="AY437" s="53"/>
    </row>
    <row r="438">
      <c r="AE438" s="51"/>
      <c r="AG438" s="53"/>
      <c r="AR438" s="52"/>
      <c r="AU438" s="52"/>
      <c r="AY438" s="53"/>
    </row>
    <row r="439">
      <c r="AE439" s="51"/>
      <c r="AG439" s="53"/>
      <c r="AR439" s="52"/>
      <c r="AU439" s="52"/>
      <c r="AY439" s="53"/>
    </row>
    <row r="440">
      <c r="AE440" s="51"/>
      <c r="AG440" s="53"/>
      <c r="AR440" s="52"/>
      <c r="AU440" s="52"/>
      <c r="AY440" s="53"/>
    </row>
    <row r="441">
      <c r="AE441" s="51"/>
      <c r="AG441" s="53"/>
      <c r="AR441" s="52"/>
      <c r="AU441" s="52"/>
      <c r="AY441" s="53"/>
    </row>
    <row r="442">
      <c r="AE442" s="51"/>
      <c r="AG442" s="53"/>
      <c r="AR442" s="52"/>
      <c r="AU442" s="52"/>
      <c r="AY442" s="53"/>
    </row>
    <row r="443">
      <c r="AE443" s="51"/>
      <c r="AG443" s="53"/>
      <c r="AR443" s="52"/>
      <c r="AU443" s="52"/>
      <c r="AY443" s="53"/>
    </row>
    <row r="444">
      <c r="AE444" s="51"/>
      <c r="AG444" s="53"/>
      <c r="AR444" s="52"/>
      <c r="AU444" s="52"/>
      <c r="AY444" s="53"/>
    </row>
    <row r="445">
      <c r="AE445" s="51"/>
      <c r="AG445" s="53"/>
      <c r="AR445" s="52"/>
      <c r="AU445" s="52"/>
      <c r="AY445" s="53"/>
    </row>
    <row r="446">
      <c r="AE446" s="51"/>
      <c r="AG446" s="53"/>
      <c r="AR446" s="52"/>
      <c r="AU446" s="52"/>
      <c r="AY446" s="53"/>
    </row>
    <row r="447">
      <c r="AE447" s="51"/>
      <c r="AG447" s="53"/>
      <c r="AR447" s="52"/>
      <c r="AU447" s="52"/>
      <c r="AY447" s="53"/>
    </row>
    <row r="448">
      <c r="AE448" s="51"/>
      <c r="AG448" s="53"/>
      <c r="AR448" s="52"/>
      <c r="AU448" s="52"/>
      <c r="AY448" s="53"/>
    </row>
    <row r="449">
      <c r="AE449" s="51"/>
      <c r="AG449" s="53"/>
      <c r="AR449" s="52"/>
      <c r="AU449" s="52"/>
      <c r="AY449" s="53"/>
    </row>
    <row r="450">
      <c r="AE450" s="51"/>
      <c r="AG450" s="53"/>
      <c r="AR450" s="52"/>
      <c r="AU450" s="52"/>
      <c r="AY450" s="53"/>
    </row>
    <row r="451">
      <c r="AE451" s="51"/>
      <c r="AG451" s="53"/>
      <c r="AR451" s="52"/>
      <c r="AU451" s="52"/>
      <c r="AY451" s="53"/>
    </row>
    <row r="452">
      <c r="AE452" s="51"/>
      <c r="AG452" s="53"/>
      <c r="AR452" s="52"/>
      <c r="AU452" s="52"/>
      <c r="AY452" s="53"/>
    </row>
    <row r="453">
      <c r="AE453" s="51"/>
      <c r="AG453" s="53"/>
      <c r="AR453" s="52"/>
      <c r="AU453" s="52"/>
      <c r="AY453" s="53"/>
    </row>
    <row r="454">
      <c r="AE454" s="51"/>
      <c r="AG454" s="53"/>
      <c r="AR454" s="52"/>
      <c r="AU454" s="52"/>
      <c r="AY454" s="53"/>
    </row>
    <row r="455">
      <c r="AE455" s="51"/>
      <c r="AG455" s="53"/>
      <c r="AR455" s="52"/>
      <c r="AU455" s="52"/>
      <c r="AY455" s="53"/>
    </row>
    <row r="456">
      <c r="AE456" s="51"/>
      <c r="AG456" s="53"/>
      <c r="AR456" s="52"/>
      <c r="AU456" s="52"/>
      <c r="AY456" s="53"/>
    </row>
    <row r="457">
      <c r="AE457" s="51"/>
      <c r="AG457" s="53"/>
      <c r="AR457" s="52"/>
      <c r="AU457" s="52"/>
      <c r="AY457" s="53"/>
    </row>
    <row r="458">
      <c r="AE458" s="51"/>
      <c r="AG458" s="53"/>
      <c r="AR458" s="52"/>
      <c r="AU458" s="52"/>
      <c r="AY458" s="53"/>
    </row>
    <row r="459">
      <c r="AE459" s="51"/>
      <c r="AG459" s="53"/>
      <c r="AR459" s="52"/>
      <c r="AU459" s="52"/>
      <c r="AY459" s="53"/>
    </row>
    <row r="460">
      <c r="AE460" s="51"/>
      <c r="AG460" s="53"/>
      <c r="AR460" s="52"/>
      <c r="AU460" s="52"/>
      <c r="AY460" s="53"/>
    </row>
    <row r="461">
      <c r="AE461" s="51"/>
      <c r="AG461" s="53"/>
      <c r="AR461" s="52"/>
      <c r="AU461" s="52"/>
      <c r="AY461" s="53"/>
    </row>
    <row r="462">
      <c r="AE462" s="51"/>
      <c r="AG462" s="53"/>
      <c r="AR462" s="52"/>
      <c r="AU462" s="52"/>
      <c r="AY462" s="53"/>
    </row>
    <row r="463">
      <c r="AE463" s="51"/>
      <c r="AG463" s="53"/>
      <c r="AR463" s="52"/>
      <c r="AU463" s="52"/>
      <c r="AY463" s="53"/>
    </row>
    <row r="464">
      <c r="AE464" s="51"/>
      <c r="AG464" s="53"/>
      <c r="AR464" s="52"/>
      <c r="AU464" s="52"/>
      <c r="AY464" s="53"/>
    </row>
    <row r="465">
      <c r="AE465" s="51"/>
      <c r="AG465" s="53"/>
      <c r="AR465" s="52"/>
      <c r="AU465" s="52"/>
      <c r="AY465" s="53"/>
    </row>
    <row r="466">
      <c r="AE466" s="51"/>
      <c r="AG466" s="53"/>
      <c r="AR466" s="52"/>
      <c r="AU466" s="52"/>
      <c r="AY466" s="53"/>
    </row>
    <row r="467">
      <c r="AE467" s="51"/>
      <c r="AG467" s="53"/>
      <c r="AR467" s="52"/>
      <c r="AU467" s="52"/>
      <c r="AY467" s="53"/>
    </row>
    <row r="468">
      <c r="AE468" s="51"/>
      <c r="AG468" s="53"/>
      <c r="AR468" s="52"/>
      <c r="AU468" s="52"/>
      <c r="AY468" s="53"/>
    </row>
    <row r="469">
      <c r="AE469" s="51"/>
      <c r="AG469" s="53"/>
      <c r="AR469" s="52"/>
      <c r="AU469" s="52"/>
      <c r="AY469" s="53"/>
    </row>
    <row r="470">
      <c r="AE470" s="51"/>
      <c r="AG470" s="53"/>
      <c r="AR470" s="52"/>
      <c r="AU470" s="52"/>
      <c r="AY470" s="53"/>
    </row>
    <row r="471">
      <c r="AE471" s="51"/>
      <c r="AG471" s="53"/>
      <c r="AR471" s="52"/>
      <c r="AU471" s="52"/>
      <c r="AY471" s="53"/>
    </row>
    <row r="472">
      <c r="AE472" s="51"/>
      <c r="AG472" s="53"/>
      <c r="AR472" s="52"/>
      <c r="AU472" s="52"/>
      <c r="AY472" s="53"/>
    </row>
    <row r="473">
      <c r="AE473" s="51"/>
      <c r="AG473" s="53"/>
      <c r="AR473" s="52"/>
      <c r="AU473" s="52"/>
      <c r="AY473" s="53"/>
    </row>
    <row r="474">
      <c r="AE474" s="51"/>
      <c r="AG474" s="53"/>
      <c r="AR474" s="52"/>
      <c r="AU474" s="52"/>
      <c r="AY474" s="53"/>
    </row>
    <row r="475">
      <c r="AE475" s="51"/>
      <c r="AG475" s="53"/>
      <c r="AR475" s="52"/>
      <c r="AU475" s="52"/>
      <c r="AY475" s="53"/>
    </row>
    <row r="476">
      <c r="AE476" s="51"/>
      <c r="AG476" s="53"/>
      <c r="AR476" s="52"/>
      <c r="AU476" s="52"/>
      <c r="AY476" s="53"/>
    </row>
    <row r="477">
      <c r="AE477" s="51"/>
      <c r="AG477" s="53"/>
      <c r="AR477" s="52"/>
      <c r="AU477" s="52"/>
      <c r="AY477" s="53"/>
    </row>
    <row r="478">
      <c r="AE478" s="51"/>
      <c r="AG478" s="53"/>
      <c r="AR478" s="52"/>
      <c r="AU478" s="52"/>
      <c r="AY478" s="53"/>
    </row>
    <row r="479">
      <c r="AE479" s="51"/>
      <c r="AG479" s="53"/>
      <c r="AR479" s="52"/>
      <c r="AU479" s="52"/>
      <c r="AY479" s="53"/>
    </row>
    <row r="480">
      <c r="AE480" s="51"/>
      <c r="AG480" s="53"/>
      <c r="AR480" s="52"/>
      <c r="AU480" s="52"/>
      <c r="AY480" s="53"/>
    </row>
    <row r="481">
      <c r="AE481" s="51"/>
      <c r="AG481" s="53"/>
      <c r="AR481" s="52"/>
      <c r="AU481" s="52"/>
      <c r="AY481" s="53"/>
    </row>
    <row r="482">
      <c r="AE482" s="51"/>
      <c r="AG482" s="53"/>
      <c r="AR482" s="52"/>
      <c r="AU482" s="52"/>
      <c r="AY482" s="53"/>
    </row>
    <row r="483">
      <c r="AE483" s="51"/>
      <c r="AG483" s="53"/>
      <c r="AR483" s="52"/>
      <c r="AU483" s="52"/>
      <c r="AY483" s="53"/>
    </row>
    <row r="484">
      <c r="AE484" s="51"/>
      <c r="AG484" s="53"/>
      <c r="AR484" s="52"/>
      <c r="AU484" s="52"/>
      <c r="AY484" s="53"/>
    </row>
    <row r="485">
      <c r="AE485" s="51"/>
      <c r="AG485" s="53"/>
      <c r="AR485" s="52"/>
      <c r="AU485" s="52"/>
      <c r="AY485" s="53"/>
    </row>
    <row r="486">
      <c r="AE486" s="51"/>
      <c r="AG486" s="53"/>
      <c r="AR486" s="52"/>
      <c r="AU486" s="52"/>
      <c r="AY486" s="53"/>
    </row>
    <row r="487">
      <c r="AE487" s="51"/>
      <c r="AG487" s="53"/>
      <c r="AR487" s="52"/>
      <c r="AU487" s="52"/>
      <c r="AY487" s="53"/>
    </row>
    <row r="488">
      <c r="AE488" s="51"/>
      <c r="AG488" s="53"/>
      <c r="AR488" s="52"/>
      <c r="AU488" s="52"/>
      <c r="AY488" s="53"/>
    </row>
    <row r="489">
      <c r="AE489" s="51"/>
      <c r="AG489" s="53"/>
      <c r="AR489" s="52"/>
      <c r="AU489" s="52"/>
      <c r="AY489" s="53"/>
    </row>
    <row r="490">
      <c r="AE490" s="51"/>
      <c r="AG490" s="53"/>
      <c r="AR490" s="52"/>
      <c r="AU490" s="52"/>
      <c r="AY490" s="53"/>
    </row>
    <row r="491">
      <c r="AE491" s="51"/>
      <c r="AG491" s="53"/>
      <c r="AR491" s="52"/>
      <c r="AU491" s="52"/>
      <c r="AY491" s="53"/>
    </row>
    <row r="492">
      <c r="AE492" s="51"/>
      <c r="AG492" s="53"/>
      <c r="AR492" s="52"/>
      <c r="AU492" s="52"/>
      <c r="AY492" s="53"/>
    </row>
    <row r="493">
      <c r="AE493" s="51"/>
      <c r="AG493" s="53"/>
      <c r="AR493" s="52"/>
      <c r="AU493" s="52"/>
      <c r="AY493" s="53"/>
    </row>
    <row r="494">
      <c r="AE494" s="51"/>
      <c r="AG494" s="53"/>
      <c r="AR494" s="52"/>
      <c r="AU494" s="52"/>
      <c r="AY494" s="53"/>
    </row>
    <row r="495">
      <c r="AE495" s="51"/>
      <c r="AG495" s="53"/>
      <c r="AR495" s="52"/>
      <c r="AU495" s="52"/>
      <c r="AY495" s="53"/>
    </row>
    <row r="496">
      <c r="AE496" s="51"/>
      <c r="AG496" s="53"/>
      <c r="AR496" s="52"/>
      <c r="AU496" s="52"/>
      <c r="AY496" s="53"/>
    </row>
    <row r="497">
      <c r="AE497" s="51"/>
      <c r="AG497" s="53"/>
      <c r="AR497" s="52"/>
      <c r="AU497" s="52"/>
      <c r="AY497" s="53"/>
    </row>
    <row r="498">
      <c r="AE498" s="51"/>
      <c r="AG498" s="53"/>
      <c r="AR498" s="52"/>
      <c r="AU498" s="52"/>
      <c r="AY498" s="53"/>
    </row>
    <row r="499">
      <c r="AE499" s="51"/>
      <c r="AG499" s="53"/>
      <c r="AR499" s="52"/>
      <c r="AU499" s="52"/>
      <c r="AY499" s="53"/>
    </row>
    <row r="500">
      <c r="AE500" s="51"/>
      <c r="AG500" s="53"/>
      <c r="AR500" s="52"/>
      <c r="AU500" s="52"/>
      <c r="AY500" s="53"/>
    </row>
    <row r="501">
      <c r="AE501" s="51"/>
      <c r="AG501" s="53"/>
      <c r="AR501" s="52"/>
      <c r="AU501" s="52"/>
      <c r="AY501" s="53"/>
    </row>
    <row r="502">
      <c r="AE502" s="51"/>
      <c r="AG502" s="53"/>
      <c r="AR502" s="52"/>
      <c r="AU502" s="52"/>
      <c r="AY502" s="53"/>
    </row>
    <row r="503">
      <c r="AE503" s="51"/>
      <c r="AG503" s="53"/>
      <c r="AR503" s="52"/>
      <c r="AU503" s="52"/>
      <c r="AY503" s="53"/>
    </row>
    <row r="504">
      <c r="AE504" s="51"/>
      <c r="AG504" s="53"/>
      <c r="AR504" s="52"/>
      <c r="AU504" s="52"/>
      <c r="AY504" s="53"/>
    </row>
    <row r="505">
      <c r="AE505" s="51"/>
      <c r="AG505" s="53"/>
      <c r="AR505" s="52"/>
      <c r="AU505" s="52"/>
      <c r="AY505" s="53"/>
    </row>
    <row r="506">
      <c r="AE506" s="51"/>
      <c r="AG506" s="53"/>
      <c r="AR506" s="52"/>
      <c r="AU506" s="52"/>
      <c r="AY506" s="53"/>
    </row>
    <row r="507">
      <c r="AE507" s="51"/>
      <c r="AG507" s="53"/>
      <c r="AR507" s="52"/>
      <c r="AU507" s="52"/>
      <c r="AY507" s="53"/>
    </row>
    <row r="508">
      <c r="AE508" s="51"/>
      <c r="AG508" s="53"/>
      <c r="AR508" s="52"/>
      <c r="AU508" s="52"/>
      <c r="AY508" s="53"/>
    </row>
    <row r="509">
      <c r="AE509" s="51"/>
      <c r="AG509" s="53"/>
      <c r="AR509" s="52"/>
      <c r="AU509" s="52"/>
      <c r="AY509" s="53"/>
    </row>
    <row r="510">
      <c r="AE510" s="51"/>
      <c r="AG510" s="53"/>
      <c r="AR510" s="52"/>
      <c r="AU510" s="52"/>
      <c r="AY510" s="53"/>
    </row>
    <row r="511">
      <c r="AE511" s="51"/>
      <c r="AG511" s="53"/>
      <c r="AR511" s="52"/>
      <c r="AU511" s="52"/>
      <c r="AY511" s="53"/>
    </row>
    <row r="512">
      <c r="AE512" s="51"/>
      <c r="AG512" s="53"/>
      <c r="AR512" s="52"/>
      <c r="AU512" s="52"/>
      <c r="AY512" s="53"/>
    </row>
    <row r="513">
      <c r="AE513" s="51"/>
      <c r="AG513" s="53"/>
      <c r="AR513" s="52"/>
      <c r="AU513" s="52"/>
      <c r="AY513" s="53"/>
    </row>
    <row r="514">
      <c r="AE514" s="51"/>
      <c r="AG514" s="53"/>
      <c r="AR514" s="52"/>
      <c r="AU514" s="52"/>
      <c r="AY514" s="53"/>
    </row>
    <row r="515">
      <c r="AE515" s="51"/>
      <c r="AG515" s="53"/>
      <c r="AR515" s="52"/>
      <c r="AU515" s="52"/>
      <c r="AY515" s="53"/>
    </row>
    <row r="516">
      <c r="AE516" s="51"/>
      <c r="AG516" s="53"/>
      <c r="AR516" s="52"/>
      <c r="AU516" s="52"/>
      <c r="AY516" s="53"/>
    </row>
    <row r="517">
      <c r="AE517" s="51"/>
      <c r="AG517" s="53"/>
      <c r="AR517" s="52"/>
      <c r="AU517" s="52"/>
      <c r="AY517" s="53"/>
    </row>
    <row r="518">
      <c r="AE518" s="51"/>
      <c r="AG518" s="53"/>
      <c r="AR518" s="52"/>
      <c r="AU518" s="52"/>
      <c r="AY518" s="53"/>
    </row>
    <row r="519">
      <c r="AE519" s="51"/>
      <c r="AG519" s="53"/>
      <c r="AR519" s="52"/>
      <c r="AU519" s="52"/>
      <c r="AY519" s="53"/>
    </row>
    <row r="520">
      <c r="AE520" s="51"/>
      <c r="AG520" s="53"/>
      <c r="AR520" s="52"/>
      <c r="AU520" s="52"/>
      <c r="AY520" s="53"/>
    </row>
    <row r="521">
      <c r="AE521" s="51"/>
      <c r="AG521" s="53"/>
      <c r="AR521" s="52"/>
      <c r="AU521" s="52"/>
      <c r="AY521" s="53"/>
    </row>
    <row r="522">
      <c r="AE522" s="51"/>
      <c r="AG522" s="53"/>
      <c r="AR522" s="52"/>
      <c r="AU522" s="52"/>
      <c r="AY522" s="53"/>
    </row>
    <row r="523">
      <c r="AE523" s="51"/>
      <c r="AG523" s="53"/>
      <c r="AR523" s="52"/>
      <c r="AU523" s="52"/>
      <c r="AY523" s="53"/>
    </row>
    <row r="524">
      <c r="AE524" s="51"/>
      <c r="AG524" s="53"/>
      <c r="AR524" s="52"/>
      <c r="AU524" s="52"/>
      <c r="AY524" s="53"/>
    </row>
    <row r="525">
      <c r="AE525" s="51"/>
      <c r="AG525" s="53"/>
      <c r="AR525" s="52"/>
      <c r="AU525" s="52"/>
      <c r="AY525" s="53"/>
    </row>
    <row r="526">
      <c r="AE526" s="51"/>
      <c r="AG526" s="53"/>
      <c r="AR526" s="52"/>
      <c r="AU526" s="52"/>
      <c r="AY526" s="53"/>
    </row>
    <row r="527">
      <c r="AE527" s="51"/>
      <c r="AG527" s="53"/>
      <c r="AR527" s="52"/>
      <c r="AU527" s="52"/>
      <c r="AY527" s="53"/>
    </row>
    <row r="528">
      <c r="AE528" s="51"/>
      <c r="AG528" s="53"/>
      <c r="AR528" s="52"/>
      <c r="AU528" s="52"/>
      <c r="AY528" s="53"/>
    </row>
    <row r="529">
      <c r="AE529" s="51"/>
      <c r="AG529" s="53"/>
      <c r="AR529" s="52"/>
      <c r="AU529" s="52"/>
      <c r="AY529" s="53"/>
    </row>
    <row r="530">
      <c r="AE530" s="51"/>
      <c r="AG530" s="53"/>
      <c r="AR530" s="52"/>
      <c r="AU530" s="52"/>
      <c r="AY530" s="53"/>
    </row>
    <row r="531">
      <c r="AE531" s="51"/>
      <c r="AG531" s="53"/>
      <c r="AR531" s="52"/>
      <c r="AU531" s="52"/>
      <c r="AY531" s="53"/>
    </row>
    <row r="532">
      <c r="AE532" s="51"/>
      <c r="AG532" s="53"/>
      <c r="AR532" s="52"/>
      <c r="AU532" s="52"/>
      <c r="AY532" s="53"/>
    </row>
    <row r="533">
      <c r="AE533" s="51"/>
      <c r="AG533" s="53"/>
      <c r="AR533" s="52"/>
      <c r="AU533" s="52"/>
      <c r="AY533" s="53"/>
    </row>
    <row r="534">
      <c r="AE534" s="51"/>
      <c r="AG534" s="53"/>
      <c r="AR534" s="52"/>
      <c r="AU534" s="52"/>
      <c r="AY534" s="53"/>
    </row>
    <row r="535">
      <c r="AE535" s="51"/>
      <c r="AG535" s="53"/>
      <c r="AR535" s="52"/>
      <c r="AU535" s="52"/>
      <c r="AY535" s="53"/>
    </row>
    <row r="536">
      <c r="AE536" s="51"/>
      <c r="AG536" s="53"/>
      <c r="AR536" s="52"/>
      <c r="AU536" s="52"/>
      <c r="AY536" s="53"/>
    </row>
    <row r="537">
      <c r="AE537" s="51"/>
      <c r="AG537" s="53"/>
      <c r="AR537" s="52"/>
      <c r="AU537" s="52"/>
      <c r="AY537" s="53"/>
    </row>
    <row r="538">
      <c r="AE538" s="51"/>
      <c r="AG538" s="53"/>
      <c r="AR538" s="52"/>
      <c r="AU538" s="52"/>
      <c r="AY538" s="53"/>
    </row>
    <row r="539">
      <c r="AE539" s="51"/>
      <c r="AG539" s="53"/>
      <c r="AR539" s="52"/>
      <c r="AU539" s="52"/>
      <c r="AY539" s="53"/>
    </row>
    <row r="540">
      <c r="AE540" s="51"/>
      <c r="AG540" s="53"/>
      <c r="AR540" s="52"/>
      <c r="AU540" s="52"/>
      <c r="AY540" s="53"/>
    </row>
    <row r="541">
      <c r="AE541" s="51"/>
      <c r="AG541" s="53"/>
      <c r="AR541" s="52"/>
      <c r="AU541" s="52"/>
      <c r="AY541" s="53"/>
    </row>
    <row r="542">
      <c r="AE542" s="51"/>
      <c r="AG542" s="53"/>
      <c r="AR542" s="52"/>
      <c r="AU542" s="52"/>
      <c r="AY542" s="53"/>
    </row>
    <row r="543">
      <c r="AE543" s="51"/>
      <c r="AG543" s="53"/>
      <c r="AR543" s="52"/>
      <c r="AU543" s="52"/>
      <c r="AY543" s="53"/>
    </row>
    <row r="544">
      <c r="AE544" s="51"/>
      <c r="AG544" s="53"/>
      <c r="AR544" s="52"/>
      <c r="AU544" s="52"/>
      <c r="AY544" s="53"/>
    </row>
    <row r="545">
      <c r="AE545" s="51"/>
      <c r="AG545" s="53"/>
      <c r="AR545" s="52"/>
      <c r="AU545" s="52"/>
      <c r="AY545" s="53"/>
    </row>
    <row r="546">
      <c r="AE546" s="51"/>
      <c r="AG546" s="53"/>
      <c r="AR546" s="52"/>
      <c r="AU546" s="52"/>
      <c r="AY546" s="53"/>
    </row>
    <row r="547">
      <c r="AE547" s="51"/>
      <c r="AG547" s="53"/>
      <c r="AR547" s="52"/>
      <c r="AU547" s="52"/>
      <c r="AY547" s="53"/>
    </row>
    <row r="548">
      <c r="AE548" s="51"/>
      <c r="AG548" s="53"/>
      <c r="AR548" s="52"/>
      <c r="AU548" s="52"/>
      <c r="AY548" s="53"/>
    </row>
    <row r="549">
      <c r="AE549" s="51"/>
      <c r="AG549" s="53"/>
      <c r="AR549" s="52"/>
      <c r="AU549" s="52"/>
      <c r="AY549" s="53"/>
    </row>
    <row r="550">
      <c r="AE550" s="51"/>
      <c r="AG550" s="53"/>
      <c r="AR550" s="52"/>
      <c r="AU550" s="52"/>
      <c r="AY550" s="53"/>
    </row>
    <row r="551">
      <c r="AE551" s="51"/>
      <c r="AG551" s="53"/>
      <c r="AR551" s="52"/>
      <c r="AU551" s="52"/>
      <c r="AY551" s="53"/>
    </row>
    <row r="552">
      <c r="AE552" s="51"/>
      <c r="AG552" s="53"/>
      <c r="AR552" s="52"/>
      <c r="AU552" s="52"/>
      <c r="AY552" s="53"/>
    </row>
    <row r="553">
      <c r="AE553" s="51"/>
      <c r="AG553" s="53"/>
      <c r="AR553" s="52"/>
      <c r="AU553" s="52"/>
      <c r="AY553" s="53"/>
    </row>
    <row r="554">
      <c r="AE554" s="51"/>
      <c r="AG554" s="53"/>
      <c r="AR554" s="52"/>
      <c r="AU554" s="52"/>
      <c r="AY554" s="53"/>
    </row>
    <row r="555">
      <c r="AE555" s="51"/>
      <c r="AG555" s="53"/>
      <c r="AR555" s="52"/>
      <c r="AU555" s="52"/>
      <c r="AY555" s="53"/>
    </row>
    <row r="556">
      <c r="AE556" s="51"/>
      <c r="AG556" s="53"/>
      <c r="AR556" s="52"/>
      <c r="AU556" s="52"/>
      <c r="AY556" s="53"/>
    </row>
    <row r="557">
      <c r="AE557" s="51"/>
      <c r="AG557" s="53"/>
      <c r="AR557" s="52"/>
      <c r="AU557" s="52"/>
      <c r="AY557" s="53"/>
    </row>
    <row r="558">
      <c r="AE558" s="51"/>
      <c r="AG558" s="53"/>
      <c r="AR558" s="52"/>
      <c r="AU558" s="52"/>
      <c r="AY558" s="53"/>
    </row>
    <row r="559">
      <c r="AE559" s="51"/>
      <c r="AG559" s="53"/>
      <c r="AR559" s="52"/>
      <c r="AU559" s="52"/>
      <c r="AY559" s="53"/>
    </row>
    <row r="560">
      <c r="AE560" s="51"/>
      <c r="AG560" s="53"/>
      <c r="AR560" s="52"/>
      <c r="AU560" s="52"/>
      <c r="AY560" s="53"/>
    </row>
    <row r="561">
      <c r="AE561" s="51"/>
      <c r="AG561" s="53"/>
      <c r="AR561" s="52"/>
      <c r="AU561" s="52"/>
      <c r="AY561" s="53"/>
    </row>
    <row r="562">
      <c r="AE562" s="51"/>
      <c r="AG562" s="53"/>
      <c r="AR562" s="52"/>
      <c r="AU562" s="52"/>
      <c r="AY562" s="53"/>
    </row>
    <row r="563">
      <c r="AE563" s="51"/>
      <c r="AG563" s="53"/>
      <c r="AR563" s="52"/>
      <c r="AU563" s="52"/>
      <c r="AY563" s="53"/>
    </row>
    <row r="564">
      <c r="AE564" s="51"/>
      <c r="AG564" s="53"/>
      <c r="AR564" s="52"/>
      <c r="AU564" s="52"/>
      <c r="AY564" s="53"/>
    </row>
    <row r="565">
      <c r="AE565" s="51"/>
      <c r="AG565" s="53"/>
      <c r="AR565" s="52"/>
      <c r="AU565" s="52"/>
      <c r="AY565" s="53"/>
    </row>
    <row r="566">
      <c r="AE566" s="51"/>
      <c r="AG566" s="53"/>
      <c r="AR566" s="52"/>
      <c r="AU566" s="52"/>
      <c r="AY566" s="53"/>
    </row>
    <row r="567">
      <c r="AE567" s="51"/>
      <c r="AG567" s="53"/>
      <c r="AR567" s="52"/>
      <c r="AU567" s="52"/>
      <c r="AY567" s="53"/>
    </row>
    <row r="568">
      <c r="AE568" s="51"/>
      <c r="AG568" s="53"/>
      <c r="AR568" s="52"/>
      <c r="AU568" s="52"/>
      <c r="AY568" s="53"/>
    </row>
    <row r="569">
      <c r="AE569" s="51"/>
      <c r="AG569" s="53"/>
      <c r="AR569" s="52"/>
      <c r="AU569" s="52"/>
      <c r="AY569" s="53"/>
    </row>
    <row r="570">
      <c r="AE570" s="51"/>
      <c r="AG570" s="53"/>
      <c r="AR570" s="52"/>
      <c r="AU570" s="52"/>
      <c r="AY570" s="53"/>
    </row>
    <row r="571">
      <c r="AE571" s="51"/>
      <c r="AG571" s="53"/>
      <c r="AR571" s="52"/>
      <c r="AU571" s="52"/>
      <c r="AY571" s="53"/>
    </row>
    <row r="572">
      <c r="AE572" s="51"/>
      <c r="AG572" s="53"/>
      <c r="AR572" s="52"/>
      <c r="AU572" s="52"/>
      <c r="AY572" s="53"/>
    </row>
    <row r="573">
      <c r="AE573" s="51"/>
      <c r="AG573" s="53"/>
      <c r="AR573" s="52"/>
      <c r="AU573" s="52"/>
      <c r="AY573" s="53"/>
    </row>
    <row r="574">
      <c r="AE574" s="51"/>
      <c r="AG574" s="53"/>
      <c r="AR574" s="52"/>
      <c r="AU574" s="52"/>
      <c r="AY574" s="53"/>
    </row>
    <row r="575">
      <c r="AE575" s="51"/>
      <c r="AG575" s="53"/>
      <c r="AR575" s="52"/>
      <c r="AU575" s="52"/>
      <c r="AY575" s="53"/>
    </row>
    <row r="576">
      <c r="AE576" s="51"/>
      <c r="AG576" s="53"/>
      <c r="AR576" s="52"/>
      <c r="AU576" s="52"/>
      <c r="AY576" s="53"/>
    </row>
    <row r="577">
      <c r="AE577" s="51"/>
      <c r="AG577" s="53"/>
      <c r="AR577" s="52"/>
      <c r="AU577" s="52"/>
      <c r="AY577" s="53"/>
    </row>
    <row r="578">
      <c r="AE578" s="51"/>
      <c r="AG578" s="53"/>
      <c r="AR578" s="52"/>
      <c r="AU578" s="52"/>
      <c r="AY578" s="53"/>
    </row>
    <row r="579">
      <c r="AE579" s="51"/>
      <c r="AG579" s="53"/>
      <c r="AR579" s="52"/>
      <c r="AU579" s="52"/>
      <c r="AY579" s="53"/>
    </row>
    <row r="580">
      <c r="AE580" s="51"/>
      <c r="AG580" s="53"/>
      <c r="AR580" s="52"/>
      <c r="AU580" s="52"/>
      <c r="AY580" s="53"/>
    </row>
    <row r="581">
      <c r="AE581" s="51"/>
      <c r="AG581" s="53"/>
      <c r="AR581" s="52"/>
      <c r="AU581" s="52"/>
      <c r="AY581" s="53"/>
    </row>
    <row r="582">
      <c r="AE582" s="51"/>
      <c r="AG582" s="53"/>
      <c r="AR582" s="52"/>
      <c r="AU582" s="52"/>
      <c r="AY582" s="53"/>
    </row>
    <row r="583">
      <c r="AE583" s="51"/>
      <c r="AG583" s="53"/>
      <c r="AR583" s="52"/>
      <c r="AU583" s="52"/>
      <c r="AY583" s="53"/>
    </row>
    <row r="584">
      <c r="AE584" s="51"/>
      <c r="AG584" s="53"/>
      <c r="AR584" s="52"/>
      <c r="AU584" s="52"/>
      <c r="AY584" s="53"/>
    </row>
    <row r="585">
      <c r="AE585" s="51"/>
      <c r="AG585" s="53"/>
      <c r="AR585" s="52"/>
      <c r="AU585" s="52"/>
      <c r="AY585" s="53"/>
    </row>
    <row r="586">
      <c r="AE586" s="51"/>
      <c r="AG586" s="53"/>
      <c r="AR586" s="52"/>
      <c r="AU586" s="52"/>
      <c r="AY586" s="53"/>
    </row>
    <row r="587">
      <c r="AE587" s="51"/>
      <c r="AG587" s="53"/>
      <c r="AR587" s="52"/>
      <c r="AU587" s="52"/>
      <c r="AY587" s="53"/>
    </row>
    <row r="588">
      <c r="AE588" s="51"/>
      <c r="AG588" s="53"/>
      <c r="AR588" s="52"/>
      <c r="AU588" s="52"/>
      <c r="AY588" s="53"/>
    </row>
    <row r="589">
      <c r="AE589" s="51"/>
      <c r="AG589" s="53"/>
      <c r="AR589" s="52"/>
      <c r="AU589" s="52"/>
      <c r="AY589" s="53"/>
    </row>
    <row r="590">
      <c r="AE590" s="51"/>
      <c r="AG590" s="53"/>
      <c r="AR590" s="52"/>
      <c r="AU590" s="52"/>
      <c r="AY590" s="53"/>
    </row>
    <row r="591">
      <c r="AE591" s="51"/>
      <c r="AG591" s="53"/>
      <c r="AR591" s="52"/>
      <c r="AU591" s="52"/>
      <c r="AY591" s="53"/>
    </row>
    <row r="592">
      <c r="AE592" s="51"/>
      <c r="AG592" s="53"/>
      <c r="AR592" s="52"/>
      <c r="AU592" s="52"/>
      <c r="AY592" s="53"/>
    </row>
    <row r="593">
      <c r="AE593" s="51"/>
      <c r="AG593" s="53"/>
      <c r="AR593" s="52"/>
      <c r="AU593" s="52"/>
      <c r="AY593" s="53"/>
    </row>
    <row r="594">
      <c r="AE594" s="51"/>
      <c r="AG594" s="53"/>
      <c r="AR594" s="52"/>
      <c r="AU594" s="52"/>
      <c r="AY594" s="53"/>
    </row>
    <row r="595">
      <c r="AE595" s="51"/>
      <c r="AG595" s="53"/>
      <c r="AR595" s="52"/>
      <c r="AU595" s="52"/>
      <c r="AY595" s="53"/>
    </row>
    <row r="596">
      <c r="AE596" s="51"/>
      <c r="AG596" s="53"/>
      <c r="AR596" s="52"/>
      <c r="AU596" s="52"/>
      <c r="AY596" s="53"/>
    </row>
    <row r="597">
      <c r="AE597" s="51"/>
      <c r="AG597" s="53"/>
      <c r="AR597" s="52"/>
      <c r="AU597" s="52"/>
      <c r="AY597" s="53"/>
    </row>
    <row r="598">
      <c r="AE598" s="51"/>
      <c r="AG598" s="53"/>
      <c r="AR598" s="52"/>
      <c r="AU598" s="52"/>
      <c r="AY598" s="53"/>
    </row>
    <row r="599">
      <c r="AE599" s="51"/>
      <c r="AG599" s="53"/>
      <c r="AR599" s="52"/>
      <c r="AU599" s="52"/>
      <c r="AY599" s="53"/>
    </row>
    <row r="600">
      <c r="AE600" s="51"/>
      <c r="AG600" s="53"/>
      <c r="AR600" s="52"/>
      <c r="AU600" s="52"/>
      <c r="AY600" s="53"/>
    </row>
    <row r="601">
      <c r="AE601" s="51"/>
      <c r="AG601" s="53"/>
      <c r="AR601" s="52"/>
      <c r="AU601" s="52"/>
      <c r="AY601" s="53"/>
    </row>
    <row r="602">
      <c r="AE602" s="51"/>
      <c r="AG602" s="53"/>
      <c r="AR602" s="52"/>
      <c r="AU602" s="52"/>
      <c r="AY602" s="53"/>
    </row>
    <row r="603">
      <c r="AE603" s="51"/>
      <c r="AG603" s="53"/>
      <c r="AR603" s="52"/>
      <c r="AU603" s="52"/>
      <c r="AY603" s="53"/>
    </row>
    <row r="604">
      <c r="AE604" s="51"/>
      <c r="AG604" s="53"/>
      <c r="AR604" s="52"/>
      <c r="AU604" s="52"/>
      <c r="AY604" s="53"/>
    </row>
    <row r="605">
      <c r="AE605" s="51"/>
      <c r="AG605" s="53"/>
      <c r="AR605" s="52"/>
      <c r="AU605" s="52"/>
      <c r="AY605" s="53"/>
    </row>
    <row r="606">
      <c r="AE606" s="51"/>
      <c r="AG606" s="53"/>
      <c r="AR606" s="52"/>
      <c r="AU606" s="52"/>
      <c r="AY606" s="53"/>
    </row>
    <row r="607">
      <c r="AE607" s="51"/>
      <c r="AG607" s="53"/>
      <c r="AR607" s="52"/>
      <c r="AU607" s="52"/>
      <c r="AY607" s="53"/>
    </row>
    <row r="608">
      <c r="AE608" s="51"/>
      <c r="AG608" s="53"/>
      <c r="AR608" s="52"/>
      <c r="AU608" s="52"/>
      <c r="AY608" s="53"/>
    </row>
    <row r="609">
      <c r="AE609" s="51"/>
      <c r="AG609" s="53"/>
      <c r="AR609" s="52"/>
      <c r="AU609" s="52"/>
      <c r="AY609" s="53"/>
    </row>
    <row r="610">
      <c r="AE610" s="51"/>
      <c r="AG610" s="53"/>
      <c r="AR610" s="52"/>
      <c r="AU610" s="52"/>
      <c r="AY610" s="53"/>
    </row>
    <row r="611">
      <c r="AE611" s="51"/>
      <c r="AG611" s="53"/>
      <c r="AR611" s="52"/>
      <c r="AU611" s="52"/>
      <c r="AY611" s="53"/>
    </row>
    <row r="612">
      <c r="AE612" s="51"/>
      <c r="AG612" s="53"/>
      <c r="AR612" s="52"/>
      <c r="AU612" s="52"/>
      <c r="AY612" s="53"/>
    </row>
    <row r="613">
      <c r="AE613" s="51"/>
      <c r="AG613" s="53"/>
      <c r="AR613" s="52"/>
      <c r="AU613" s="52"/>
      <c r="AY613" s="53"/>
    </row>
    <row r="614">
      <c r="AE614" s="51"/>
      <c r="AG614" s="53"/>
      <c r="AR614" s="52"/>
      <c r="AU614" s="52"/>
      <c r="AY614" s="53"/>
    </row>
    <row r="615">
      <c r="AE615" s="51"/>
      <c r="AG615" s="53"/>
      <c r="AR615" s="52"/>
      <c r="AU615" s="52"/>
      <c r="AY615" s="53"/>
    </row>
    <row r="616">
      <c r="AE616" s="51"/>
      <c r="AG616" s="53"/>
      <c r="AR616" s="52"/>
      <c r="AU616" s="52"/>
      <c r="AY616" s="53"/>
    </row>
    <row r="617">
      <c r="AE617" s="51"/>
      <c r="AG617" s="53"/>
      <c r="AR617" s="52"/>
      <c r="AU617" s="52"/>
      <c r="AY617" s="53"/>
    </row>
    <row r="618">
      <c r="AE618" s="51"/>
      <c r="AG618" s="53"/>
      <c r="AR618" s="52"/>
      <c r="AU618" s="52"/>
      <c r="AY618" s="53"/>
    </row>
    <row r="619">
      <c r="AE619" s="51"/>
      <c r="AG619" s="53"/>
      <c r="AR619" s="52"/>
      <c r="AU619" s="52"/>
      <c r="AY619" s="53"/>
    </row>
    <row r="620">
      <c r="AE620" s="51"/>
      <c r="AG620" s="53"/>
      <c r="AR620" s="52"/>
      <c r="AU620" s="52"/>
      <c r="AY620" s="53"/>
    </row>
    <row r="621">
      <c r="AE621" s="51"/>
      <c r="AG621" s="53"/>
      <c r="AR621" s="52"/>
      <c r="AU621" s="52"/>
      <c r="AY621" s="53"/>
    </row>
    <row r="622">
      <c r="AE622" s="51"/>
      <c r="AG622" s="53"/>
      <c r="AR622" s="52"/>
      <c r="AU622" s="52"/>
      <c r="AY622" s="53"/>
    </row>
    <row r="623">
      <c r="AE623" s="51"/>
      <c r="AG623" s="53"/>
      <c r="AR623" s="52"/>
      <c r="AU623" s="52"/>
      <c r="AY623" s="53"/>
    </row>
    <row r="624">
      <c r="AE624" s="51"/>
      <c r="AG624" s="53"/>
      <c r="AR624" s="52"/>
      <c r="AU624" s="52"/>
      <c r="AY624" s="53"/>
    </row>
    <row r="625">
      <c r="AE625" s="51"/>
      <c r="AG625" s="53"/>
      <c r="AR625" s="52"/>
      <c r="AU625" s="52"/>
      <c r="AY625" s="53"/>
    </row>
    <row r="626">
      <c r="AE626" s="51"/>
      <c r="AG626" s="53"/>
      <c r="AR626" s="52"/>
      <c r="AU626" s="52"/>
      <c r="AY626" s="53"/>
    </row>
    <row r="627">
      <c r="AE627" s="51"/>
      <c r="AG627" s="53"/>
      <c r="AR627" s="52"/>
      <c r="AU627" s="52"/>
      <c r="AY627" s="53"/>
    </row>
    <row r="628">
      <c r="AE628" s="51"/>
      <c r="AG628" s="53"/>
      <c r="AR628" s="52"/>
      <c r="AU628" s="52"/>
      <c r="AY628" s="53"/>
    </row>
    <row r="629">
      <c r="AE629" s="51"/>
      <c r="AG629" s="53"/>
      <c r="AR629" s="52"/>
      <c r="AU629" s="52"/>
      <c r="AY629" s="53"/>
    </row>
    <row r="630">
      <c r="AE630" s="51"/>
      <c r="AG630" s="53"/>
      <c r="AR630" s="52"/>
      <c r="AU630" s="52"/>
      <c r="AY630" s="53"/>
    </row>
    <row r="631">
      <c r="AE631" s="51"/>
      <c r="AG631" s="53"/>
      <c r="AR631" s="52"/>
      <c r="AU631" s="52"/>
      <c r="AY631" s="53"/>
    </row>
    <row r="632">
      <c r="AE632" s="51"/>
      <c r="AG632" s="53"/>
      <c r="AR632" s="52"/>
      <c r="AU632" s="52"/>
      <c r="AY632" s="53"/>
    </row>
    <row r="633">
      <c r="AE633" s="51"/>
      <c r="AG633" s="53"/>
      <c r="AR633" s="52"/>
      <c r="AU633" s="52"/>
      <c r="AY633" s="53"/>
    </row>
    <row r="634">
      <c r="AE634" s="51"/>
      <c r="AG634" s="53"/>
      <c r="AR634" s="52"/>
      <c r="AU634" s="52"/>
      <c r="AY634" s="53"/>
    </row>
    <row r="635">
      <c r="AE635" s="51"/>
      <c r="AG635" s="53"/>
      <c r="AR635" s="52"/>
      <c r="AU635" s="52"/>
      <c r="AY635" s="53"/>
    </row>
    <row r="636">
      <c r="AE636" s="51"/>
      <c r="AG636" s="53"/>
      <c r="AR636" s="52"/>
      <c r="AU636" s="52"/>
      <c r="AY636" s="53"/>
    </row>
    <row r="637">
      <c r="AE637" s="51"/>
      <c r="AG637" s="53"/>
      <c r="AR637" s="52"/>
      <c r="AU637" s="52"/>
      <c r="AY637" s="53"/>
    </row>
    <row r="638">
      <c r="AE638" s="51"/>
      <c r="AG638" s="53"/>
      <c r="AR638" s="52"/>
      <c r="AU638" s="52"/>
      <c r="AY638" s="53"/>
    </row>
    <row r="639">
      <c r="AE639" s="51"/>
      <c r="AG639" s="53"/>
      <c r="AR639" s="52"/>
      <c r="AU639" s="52"/>
      <c r="AY639" s="53"/>
    </row>
    <row r="640">
      <c r="AE640" s="51"/>
      <c r="AG640" s="53"/>
      <c r="AR640" s="52"/>
      <c r="AU640" s="52"/>
      <c r="AY640" s="53"/>
    </row>
    <row r="641">
      <c r="AE641" s="51"/>
      <c r="AG641" s="53"/>
      <c r="AR641" s="52"/>
      <c r="AU641" s="52"/>
      <c r="AY641" s="53"/>
    </row>
    <row r="642">
      <c r="AE642" s="51"/>
      <c r="AG642" s="53"/>
      <c r="AR642" s="52"/>
      <c r="AU642" s="52"/>
      <c r="AY642" s="53"/>
    </row>
    <row r="643">
      <c r="AE643" s="51"/>
      <c r="AG643" s="53"/>
      <c r="AR643" s="52"/>
      <c r="AU643" s="52"/>
      <c r="AY643" s="53"/>
    </row>
    <row r="644">
      <c r="AE644" s="51"/>
      <c r="AG644" s="53"/>
      <c r="AR644" s="52"/>
      <c r="AU644" s="52"/>
      <c r="AY644" s="53"/>
    </row>
    <row r="645">
      <c r="AE645" s="51"/>
      <c r="AG645" s="53"/>
      <c r="AR645" s="52"/>
      <c r="AU645" s="52"/>
      <c r="AY645" s="53"/>
    </row>
    <row r="646">
      <c r="AE646" s="51"/>
      <c r="AG646" s="53"/>
      <c r="AR646" s="52"/>
      <c r="AU646" s="52"/>
      <c r="AY646" s="53"/>
    </row>
    <row r="647">
      <c r="AE647" s="51"/>
      <c r="AG647" s="53"/>
      <c r="AR647" s="52"/>
      <c r="AU647" s="52"/>
      <c r="AY647" s="53"/>
    </row>
    <row r="648">
      <c r="AE648" s="51"/>
      <c r="AG648" s="53"/>
      <c r="AR648" s="52"/>
      <c r="AU648" s="52"/>
      <c r="AY648" s="53"/>
    </row>
    <row r="649">
      <c r="AE649" s="51"/>
      <c r="AG649" s="53"/>
      <c r="AR649" s="52"/>
      <c r="AU649" s="52"/>
      <c r="AY649" s="53"/>
    </row>
    <row r="650">
      <c r="AE650" s="51"/>
      <c r="AG650" s="53"/>
      <c r="AR650" s="52"/>
      <c r="AU650" s="52"/>
      <c r="AY650" s="53"/>
    </row>
    <row r="651">
      <c r="AE651" s="51"/>
      <c r="AG651" s="53"/>
      <c r="AR651" s="52"/>
      <c r="AU651" s="52"/>
      <c r="AY651" s="53"/>
    </row>
    <row r="652">
      <c r="AE652" s="51"/>
      <c r="AG652" s="53"/>
      <c r="AR652" s="52"/>
      <c r="AU652" s="52"/>
      <c r="AY652" s="53"/>
    </row>
    <row r="653">
      <c r="AE653" s="51"/>
      <c r="AG653" s="53"/>
      <c r="AR653" s="52"/>
      <c r="AU653" s="52"/>
      <c r="AY653" s="53"/>
    </row>
    <row r="654">
      <c r="AE654" s="51"/>
      <c r="AG654" s="53"/>
      <c r="AR654" s="52"/>
      <c r="AU654" s="52"/>
      <c r="AY654" s="53"/>
    </row>
    <row r="655">
      <c r="AE655" s="51"/>
      <c r="AG655" s="53"/>
      <c r="AR655" s="52"/>
      <c r="AU655" s="52"/>
      <c r="AY655" s="53"/>
    </row>
    <row r="656">
      <c r="AE656" s="51"/>
      <c r="AG656" s="53"/>
      <c r="AR656" s="52"/>
      <c r="AU656" s="52"/>
      <c r="AY656" s="53"/>
    </row>
    <row r="657">
      <c r="AE657" s="51"/>
      <c r="AG657" s="53"/>
      <c r="AR657" s="52"/>
      <c r="AU657" s="52"/>
      <c r="AY657" s="53"/>
    </row>
    <row r="658">
      <c r="AE658" s="51"/>
      <c r="AG658" s="53"/>
      <c r="AR658" s="52"/>
      <c r="AU658" s="52"/>
      <c r="AY658" s="53"/>
    </row>
    <row r="659">
      <c r="AE659" s="51"/>
      <c r="AG659" s="53"/>
      <c r="AR659" s="52"/>
      <c r="AU659" s="52"/>
      <c r="AY659" s="53"/>
    </row>
    <row r="660">
      <c r="AE660" s="51"/>
      <c r="AG660" s="53"/>
      <c r="AR660" s="52"/>
      <c r="AU660" s="52"/>
      <c r="AY660" s="53"/>
    </row>
    <row r="661">
      <c r="AE661" s="51"/>
      <c r="AG661" s="53"/>
      <c r="AR661" s="52"/>
      <c r="AU661" s="52"/>
      <c r="AY661" s="53"/>
    </row>
    <row r="662">
      <c r="AE662" s="51"/>
      <c r="AG662" s="53"/>
      <c r="AR662" s="52"/>
      <c r="AU662" s="52"/>
      <c r="AY662" s="53"/>
    </row>
    <row r="663">
      <c r="AE663" s="51"/>
      <c r="AG663" s="53"/>
      <c r="AR663" s="52"/>
      <c r="AU663" s="52"/>
      <c r="AY663" s="53"/>
    </row>
    <row r="664">
      <c r="AE664" s="51"/>
      <c r="AG664" s="53"/>
      <c r="AR664" s="52"/>
      <c r="AU664" s="52"/>
      <c r="AY664" s="53"/>
    </row>
    <row r="665">
      <c r="AE665" s="51"/>
      <c r="AG665" s="53"/>
      <c r="AR665" s="52"/>
      <c r="AU665" s="52"/>
      <c r="AY665" s="53"/>
    </row>
    <row r="666">
      <c r="AE666" s="51"/>
      <c r="AG666" s="53"/>
      <c r="AR666" s="52"/>
      <c r="AU666" s="52"/>
      <c r="AY666" s="53"/>
    </row>
    <row r="667">
      <c r="AE667" s="51"/>
      <c r="AG667" s="53"/>
      <c r="AR667" s="52"/>
      <c r="AU667" s="52"/>
      <c r="AY667" s="53"/>
    </row>
    <row r="668">
      <c r="AE668" s="51"/>
      <c r="AG668" s="53"/>
      <c r="AR668" s="52"/>
      <c r="AU668" s="52"/>
      <c r="AY668" s="53"/>
    </row>
    <row r="669">
      <c r="AE669" s="51"/>
      <c r="AG669" s="53"/>
      <c r="AR669" s="52"/>
      <c r="AU669" s="52"/>
      <c r="AY669" s="53"/>
    </row>
    <row r="670">
      <c r="AE670" s="51"/>
      <c r="AG670" s="53"/>
      <c r="AR670" s="52"/>
      <c r="AU670" s="52"/>
      <c r="AY670" s="53"/>
    </row>
    <row r="671">
      <c r="AE671" s="51"/>
      <c r="AG671" s="53"/>
      <c r="AR671" s="52"/>
      <c r="AU671" s="52"/>
      <c r="AY671" s="53"/>
    </row>
    <row r="672">
      <c r="AE672" s="51"/>
      <c r="AG672" s="53"/>
      <c r="AR672" s="52"/>
      <c r="AU672" s="52"/>
      <c r="AY672" s="53"/>
    </row>
    <row r="673">
      <c r="AE673" s="51"/>
      <c r="AG673" s="53"/>
      <c r="AR673" s="52"/>
      <c r="AU673" s="52"/>
      <c r="AY673" s="53"/>
    </row>
    <row r="674">
      <c r="AE674" s="51"/>
      <c r="AG674" s="53"/>
      <c r="AR674" s="52"/>
      <c r="AU674" s="52"/>
      <c r="AY674" s="53"/>
    </row>
    <row r="675">
      <c r="AE675" s="51"/>
      <c r="AG675" s="53"/>
      <c r="AR675" s="52"/>
      <c r="AU675" s="52"/>
      <c r="AY675" s="53"/>
    </row>
    <row r="676">
      <c r="AE676" s="51"/>
      <c r="AG676" s="53"/>
      <c r="AR676" s="52"/>
      <c r="AU676" s="52"/>
      <c r="AY676" s="53"/>
    </row>
    <row r="677">
      <c r="AE677" s="51"/>
      <c r="AG677" s="53"/>
      <c r="AR677" s="52"/>
      <c r="AU677" s="52"/>
      <c r="AY677" s="53"/>
    </row>
    <row r="678">
      <c r="AE678" s="51"/>
      <c r="AG678" s="53"/>
      <c r="AR678" s="52"/>
      <c r="AU678" s="52"/>
      <c r="AY678" s="53"/>
    </row>
    <row r="679">
      <c r="AE679" s="51"/>
      <c r="AG679" s="53"/>
      <c r="AR679" s="52"/>
      <c r="AU679" s="52"/>
      <c r="AY679" s="53"/>
    </row>
    <row r="680">
      <c r="AE680" s="51"/>
      <c r="AG680" s="53"/>
      <c r="AR680" s="52"/>
      <c r="AU680" s="52"/>
      <c r="AY680" s="53"/>
    </row>
    <row r="681">
      <c r="AE681" s="51"/>
      <c r="AG681" s="53"/>
      <c r="AR681" s="52"/>
      <c r="AU681" s="52"/>
      <c r="AY681" s="53"/>
    </row>
    <row r="682">
      <c r="AE682" s="51"/>
      <c r="AG682" s="53"/>
      <c r="AR682" s="52"/>
      <c r="AU682" s="52"/>
      <c r="AY682" s="53"/>
    </row>
    <row r="683">
      <c r="AE683" s="51"/>
      <c r="AG683" s="53"/>
      <c r="AR683" s="52"/>
      <c r="AU683" s="52"/>
      <c r="AY683" s="53"/>
    </row>
    <row r="684">
      <c r="AE684" s="51"/>
      <c r="AG684" s="53"/>
      <c r="AR684" s="52"/>
      <c r="AU684" s="52"/>
      <c r="AY684" s="53"/>
    </row>
    <row r="685">
      <c r="AE685" s="51"/>
      <c r="AG685" s="53"/>
      <c r="AR685" s="52"/>
      <c r="AU685" s="52"/>
      <c r="AY685" s="53"/>
    </row>
    <row r="686">
      <c r="AE686" s="51"/>
      <c r="AG686" s="53"/>
      <c r="AR686" s="52"/>
      <c r="AU686" s="52"/>
      <c r="AY686" s="53"/>
    </row>
    <row r="687">
      <c r="AE687" s="51"/>
      <c r="AG687" s="53"/>
      <c r="AR687" s="52"/>
      <c r="AU687" s="52"/>
      <c r="AY687" s="53"/>
    </row>
    <row r="688">
      <c r="AE688" s="51"/>
      <c r="AG688" s="53"/>
      <c r="AR688" s="52"/>
      <c r="AU688" s="52"/>
      <c r="AY688" s="53"/>
    </row>
    <row r="689">
      <c r="AE689" s="51"/>
      <c r="AG689" s="53"/>
      <c r="AR689" s="52"/>
      <c r="AU689" s="52"/>
      <c r="AY689" s="53"/>
    </row>
    <row r="690">
      <c r="AE690" s="51"/>
      <c r="AG690" s="53"/>
      <c r="AR690" s="52"/>
      <c r="AU690" s="52"/>
      <c r="AY690" s="53"/>
    </row>
    <row r="691">
      <c r="AE691" s="51"/>
      <c r="AG691" s="53"/>
      <c r="AR691" s="52"/>
      <c r="AU691" s="52"/>
      <c r="AY691" s="53"/>
    </row>
    <row r="692">
      <c r="AE692" s="51"/>
      <c r="AG692" s="53"/>
      <c r="AR692" s="52"/>
      <c r="AU692" s="52"/>
      <c r="AY692" s="53"/>
    </row>
    <row r="693">
      <c r="AE693" s="51"/>
      <c r="AG693" s="53"/>
      <c r="AR693" s="52"/>
      <c r="AU693" s="52"/>
      <c r="AY693" s="53"/>
    </row>
    <row r="694">
      <c r="AE694" s="51"/>
      <c r="AG694" s="53"/>
      <c r="AR694" s="52"/>
      <c r="AU694" s="52"/>
      <c r="AY694" s="53"/>
    </row>
    <row r="695">
      <c r="AE695" s="51"/>
      <c r="AG695" s="53"/>
      <c r="AR695" s="52"/>
      <c r="AU695" s="52"/>
      <c r="AY695" s="53"/>
    </row>
    <row r="696">
      <c r="AE696" s="51"/>
      <c r="AG696" s="53"/>
      <c r="AR696" s="52"/>
      <c r="AU696" s="52"/>
      <c r="AY696" s="53"/>
    </row>
    <row r="697">
      <c r="AE697" s="51"/>
      <c r="AG697" s="53"/>
      <c r="AR697" s="52"/>
      <c r="AU697" s="52"/>
      <c r="AY697" s="53"/>
    </row>
    <row r="698">
      <c r="AE698" s="51"/>
      <c r="AG698" s="53"/>
      <c r="AR698" s="52"/>
      <c r="AU698" s="52"/>
      <c r="AY698" s="53"/>
    </row>
    <row r="699">
      <c r="AE699" s="51"/>
      <c r="AG699" s="53"/>
      <c r="AR699" s="52"/>
      <c r="AU699" s="52"/>
      <c r="AY699" s="53"/>
    </row>
    <row r="700">
      <c r="AE700" s="51"/>
      <c r="AG700" s="53"/>
      <c r="AR700" s="52"/>
      <c r="AU700" s="52"/>
      <c r="AY700" s="53"/>
    </row>
    <row r="701">
      <c r="AE701" s="51"/>
      <c r="AG701" s="53"/>
      <c r="AR701" s="52"/>
      <c r="AU701" s="52"/>
      <c r="AY701" s="53"/>
    </row>
    <row r="702">
      <c r="AE702" s="51"/>
      <c r="AG702" s="53"/>
      <c r="AR702" s="52"/>
      <c r="AU702" s="52"/>
      <c r="AY702" s="53"/>
    </row>
    <row r="703">
      <c r="AE703" s="51"/>
      <c r="AG703" s="53"/>
      <c r="AR703" s="52"/>
      <c r="AU703" s="52"/>
      <c r="AY703" s="53"/>
    </row>
    <row r="704">
      <c r="AE704" s="51"/>
      <c r="AG704" s="53"/>
      <c r="AR704" s="52"/>
      <c r="AU704" s="52"/>
      <c r="AY704" s="53"/>
    </row>
    <row r="705">
      <c r="AE705" s="51"/>
      <c r="AG705" s="53"/>
      <c r="AR705" s="52"/>
      <c r="AU705" s="52"/>
      <c r="AY705" s="53"/>
    </row>
    <row r="706">
      <c r="AE706" s="51"/>
      <c r="AG706" s="53"/>
      <c r="AR706" s="52"/>
      <c r="AU706" s="52"/>
      <c r="AY706" s="53"/>
    </row>
    <row r="707">
      <c r="AE707" s="51"/>
      <c r="AG707" s="53"/>
      <c r="AR707" s="52"/>
      <c r="AU707" s="52"/>
      <c r="AY707" s="53"/>
    </row>
    <row r="708">
      <c r="AE708" s="51"/>
      <c r="AG708" s="53"/>
      <c r="AR708" s="52"/>
      <c r="AU708" s="52"/>
      <c r="AY708" s="53"/>
    </row>
    <row r="709">
      <c r="AE709" s="51"/>
      <c r="AG709" s="53"/>
      <c r="AR709" s="52"/>
      <c r="AU709" s="52"/>
      <c r="AY709" s="53"/>
    </row>
    <row r="710">
      <c r="AE710" s="51"/>
      <c r="AG710" s="53"/>
      <c r="AR710" s="52"/>
      <c r="AU710" s="52"/>
      <c r="AY710" s="53"/>
    </row>
    <row r="711">
      <c r="AE711" s="51"/>
      <c r="AG711" s="53"/>
      <c r="AR711" s="52"/>
      <c r="AU711" s="52"/>
      <c r="AY711" s="53"/>
    </row>
    <row r="712">
      <c r="AE712" s="51"/>
      <c r="AG712" s="53"/>
      <c r="AR712" s="52"/>
      <c r="AU712" s="52"/>
      <c r="AY712" s="53"/>
    </row>
    <row r="713">
      <c r="AE713" s="51"/>
      <c r="AG713" s="53"/>
      <c r="AR713" s="52"/>
      <c r="AU713" s="52"/>
      <c r="AY713" s="53"/>
    </row>
    <row r="714">
      <c r="AE714" s="51"/>
      <c r="AG714" s="53"/>
      <c r="AR714" s="52"/>
      <c r="AU714" s="52"/>
      <c r="AY714" s="53"/>
    </row>
    <row r="715">
      <c r="AE715" s="51"/>
      <c r="AG715" s="53"/>
      <c r="AR715" s="52"/>
      <c r="AU715" s="52"/>
      <c r="AY715" s="53"/>
    </row>
    <row r="716">
      <c r="AE716" s="51"/>
      <c r="AG716" s="53"/>
      <c r="AR716" s="52"/>
      <c r="AU716" s="52"/>
      <c r="AY716" s="53"/>
    </row>
    <row r="717">
      <c r="AE717" s="51"/>
      <c r="AG717" s="53"/>
      <c r="AR717" s="52"/>
      <c r="AU717" s="52"/>
      <c r="AY717" s="53"/>
    </row>
    <row r="718">
      <c r="AE718" s="51"/>
      <c r="AG718" s="53"/>
      <c r="AR718" s="52"/>
      <c r="AU718" s="52"/>
      <c r="AY718" s="53"/>
    </row>
    <row r="719">
      <c r="AE719" s="51"/>
      <c r="AG719" s="53"/>
      <c r="AR719" s="52"/>
      <c r="AU719" s="52"/>
      <c r="AY719" s="53"/>
    </row>
    <row r="720">
      <c r="AE720" s="51"/>
      <c r="AG720" s="53"/>
      <c r="AR720" s="52"/>
      <c r="AU720" s="52"/>
      <c r="AY720" s="53"/>
    </row>
    <row r="721">
      <c r="AE721" s="51"/>
      <c r="AG721" s="53"/>
      <c r="AR721" s="52"/>
      <c r="AU721" s="52"/>
      <c r="AY721" s="53"/>
    </row>
    <row r="722">
      <c r="AE722" s="51"/>
      <c r="AG722" s="53"/>
      <c r="AR722" s="52"/>
      <c r="AU722" s="52"/>
      <c r="AY722" s="53"/>
    </row>
    <row r="723">
      <c r="AE723" s="51"/>
      <c r="AG723" s="53"/>
      <c r="AR723" s="52"/>
      <c r="AU723" s="52"/>
      <c r="AY723" s="53"/>
    </row>
    <row r="724">
      <c r="AE724" s="51"/>
      <c r="AG724" s="53"/>
      <c r="AR724" s="52"/>
      <c r="AU724" s="52"/>
      <c r="AY724" s="53"/>
    </row>
    <row r="725">
      <c r="AE725" s="51"/>
      <c r="AG725" s="53"/>
      <c r="AR725" s="52"/>
      <c r="AU725" s="52"/>
      <c r="AY725" s="53"/>
    </row>
    <row r="726">
      <c r="AE726" s="51"/>
      <c r="AG726" s="53"/>
      <c r="AR726" s="52"/>
      <c r="AU726" s="52"/>
      <c r="AY726" s="53"/>
    </row>
    <row r="727">
      <c r="AE727" s="51"/>
      <c r="AG727" s="53"/>
      <c r="AR727" s="52"/>
      <c r="AU727" s="52"/>
      <c r="AY727" s="53"/>
    </row>
    <row r="728">
      <c r="AE728" s="51"/>
      <c r="AG728" s="53"/>
      <c r="AR728" s="52"/>
      <c r="AU728" s="52"/>
      <c r="AY728" s="53"/>
    </row>
    <row r="729">
      <c r="AE729" s="51"/>
      <c r="AG729" s="53"/>
      <c r="AR729" s="52"/>
      <c r="AU729" s="52"/>
      <c r="AY729" s="53"/>
    </row>
    <row r="730">
      <c r="AE730" s="51"/>
      <c r="AG730" s="53"/>
      <c r="AR730" s="52"/>
      <c r="AU730" s="52"/>
      <c r="AY730" s="53"/>
    </row>
    <row r="731">
      <c r="AE731" s="51"/>
      <c r="AG731" s="53"/>
      <c r="AR731" s="52"/>
      <c r="AU731" s="52"/>
      <c r="AY731" s="53"/>
    </row>
    <row r="732">
      <c r="AE732" s="51"/>
      <c r="AG732" s="53"/>
      <c r="AR732" s="52"/>
      <c r="AU732" s="52"/>
      <c r="AY732" s="53"/>
    </row>
    <row r="733">
      <c r="AE733" s="51"/>
      <c r="AG733" s="53"/>
      <c r="AR733" s="52"/>
      <c r="AU733" s="52"/>
      <c r="AY733" s="53"/>
    </row>
    <row r="734">
      <c r="AE734" s="51"/>
      <c r="AG734" s="53"/>
      <c r="AR734" s="52"/>
      <c r="AU734" s="52"/>
      <c r="AY734" s="53"/>
    </row>
    <row r="735">
      <c r="AE735" s="51"/>
      <c r="AG735" s="53"/>
      <c r="AR735" s="52"/>
      <c r="AU735" s="52"/>
      <c r="AY735" s="53"/>
    </row>
    <row r="736">
      <c r="AE736" s="51"/>
      <c r="AG736" s="53"/>
      <c r="AR736" s="52"/>
      <c r="AU736" s="52"/>
      <c r="AY736" s="53"/>
    </row>
    <row r="737">
      <c r="AE737" s="51"/>
      <c r="AG737" s="53"/>
      <c r="AR737" s="52"/>
      <c r="AU737" s="52"/>
      <c r="AY737" s="53"/>
    </row>
    <row r="738">
      <c r="AE738" s="51"/>
      <c r="AG738" s="53"/>
      <c r="AR738" s="52"/>
      <c r="AU738" s="52"/>
      <c r="AY738" s="53"/>
    </row>
    <row r="739">
      <c r="AE739" s="51"/>
      <c r="AG739" s="53"/>
      <c r="AR739" s="52"/>
      <c r="AU739" s="52"/>
      <c r="AY739" s="53"/>
    </row>
    <row r="740">
      <c r="AE740" s="51"/>
      <c r="AG740" s="53"/>
      <c r="AR740" s="52"/>
      <c r="AU740" s="52"/>
      <c r="AY740" s="53"/>
    </row>
    <row r="741">
      <c r="AE741" s="51"/>
      <c r="AG741" s="53"/>
      <c r="AR741" s="52"/>
      <c r="AU741" s="52"/>
      <c r="AY741" s="53"/>
    </row>
    <row r="742">
      <c r="AE742" s="51"/>
      <c r="AG742" s="53"/>
      <c r="AR742" s="52"/>
      <c r="AU742" s="52"/>
      <c r="AY742" s="53"/>
    </row>
    <row r="743">
      <c r="AE743" s="51"/>
      <c r="AG743" s="53"/>
      <c r="AR743" s="52"/>
      <c r="AU743" s="52"/>
      <c r="AY743" s="53"/>
    </row>
    <row r="744">
      <c r="AE744" s="51"/>
      <c r="AG744" s="53"/>
      <c r="AR744" s="52"/>
      <c r="AU744" s="52"/>
      <c r="AY744" s="53"/>
    </row>
    <row r="745">
      <c r="AE745" s="51"/>
      <c r="AG745" s="53"/>
      <c r="AR745" s="52"/>
      <c r="AU745" s="52"/>
      <c r="AY745" s="53"/>
    </row>
    <row r="746">
      <c r="AE746" s="51"/>
      <c r="AG746" s="53"/>
      <c r="AR746" s="52"/>
      <c r="AU746" s="52"/>
      <c r="AY746" s="53"/>
    </row>
    <row r="747">
      <c r="AE747" s="51"/>
      <c r="AG747" s="53"/>
      <c r="AR747" s="52"/>
      <c r="AU747" s="52"/>
      <c r="AY747" s="53"/>
    </row>
    <row r="748">
      <c r="AE748" s="51"/>
      <c r="AG748" s="53"/>
      <c r="AR748" s="52"/>
      <c r="AU748" s="52"/>
      <c r="AY748" s="53"/>
    </row>
    <row r="749">
      <c r="AE749" s="51"/>
      <c r="AG749" s="53"/>
      <c r="AR749" s="52"/>
      <c r="AU749" s="52"/>
      <c r="AY749" s="53"/>
    </row>
    <row r="750">
      <c r="AE750" s="51"/>
      <c r="AG750" s="53"/>
      <c r="AR750" s="52"/>
      <c r="AU750" s="52"/>
      <c r="AY750" s="53"/>
    </row>
    <row r="751">
      <c r="AE751" s="51"/>
      <c r="AG751" s="53"/>
      <c r="AR751" s="52"/>
      <c r="AU751" s="52"/>
      <c r="AY751" s="53"/>
    </row>
    <row r="752">
      <c r="AE752" s="51"/>
      <c r="AG752" s="53"/>
      <c r="AR752" s="52"/>
      <c r="AU752" s="52"/>
      <c r="AY752" s="53"/>
    </row>
    <row r="753">
      <c r="AE753" s="51"/>
      <c r="AG753" s="53"/>
      <c r="AR753" s="52"/>
      <c r="AU753" s="52"/>
      <c r="AY753" s="53"/>
    </row>
    <row r="754">
      <c r="AE754" s="51"/>
      <c r="AG754" s="53"/>
      <c r="AR754" s="52"/>
      <c r="AU754" s="52"/>
      <c r="AY754" s="53"/>
    </row>
    <row r="755">
      <c r="AE755" s="51"/>
      <c r="AG755" s="53"/>
      <c r="AR755" s="52"/>
      <c r="AU755" s="52"/>
      <c r="AY755" s="53"/>
    </row>
    <row r="756">
      <c r="AE756" s="51"/>
      <c r="AG756" s="53"/>
      <c r="AR756" s="52"/>
      <c r="AU756" s="52"/>
      <c r="AY756" s="53"/>
    </row>
    <row r="757">
      <c r="AE757" s="51"/>
      <c r="AG757" s="53"/>
      <c r="AR757" s="52"/>
      <c r="AU757" s="52"/>
      <c r="AY757" s="53"/>
    </row>
    <row r="758">
      <c r="AE758" s="51"/>
      <c r="AG758" s="53"/>
      <c r="AR758" s="52"/>
      <c r="AU758" s="52"/>
      <c r="AY758" s="53"/>
    </row>
    <row r="759">
      <c r="AE759" s="51"/>
      <c r="AG759" s="53"/>
      <c r="AR759" s="52"/>
      <c r="AU759" s="52"/>
      <c r="AY759" s="53"/>
    </row>
    <row r="760">
      <c r="AE760" s="51"/>
      <c r="AG760" s="53"/>
      <c r="AR760" s="52"/>
      <c r="AU760" s="52"/>
      <c r="AY760" s="53"/>
    </row>
    <row r="761">
      <c r="AE761" s="51"/>
      <c r="AG761" s="53"/>
      <c r="AR761" s="52"/>
      <c r="AU761" s="52"/>
      <c r="AY761" s="53"/>
    </row>
    <row r="762">
      <c r="AE762" s="51"/>
      <c r="AG762" s="53"/>
      <c r="AR762" s="52"/>
      <c r="AU762" s="52"/>
      <c r="AY762" s="53"/>
    </row>
    <row r="763">
      <c r="AE763" s="51"/>
      <c r="AG763" s="53"/>
      <c r="AR763" s="52"/>
      <c r="AU763" s="52"/>
      <c r="AY763" s="53"/>
    </row>
    <row r="764">
      <c r="AE764" s="51"/>
      <c r="AG764" s="53"/>
      <c r="AR764" s="52"/>
      <c r="AU764" s="52"/>
      <c r="AY764" s="53"/>
    </row>
    <row r="765">
      <c r="AE765" s="51"/>
      <c r="AG765" s="53"/>
      <c r="AR765" s="52"/>
      <c r="AU765" s="52"/>
      <c r="AY765" s="53"/>
    </row>
    <row r="766">
      <c r="AE766" s="51"/>
      <c r="AG766" s="53"/>
      <c r="AR766" s="52"/>
      <c r="AU766" s="52"/>
      <c r="AY766" s="53"/>
    </row>
    <row r="767">
      <c r="AE767" s="51"/>
      <c r="AG767" s="53"/>
      <c r="AR767" s="52"/>
      <c r="AU767" s="52"/>
      <c r="AY767" s="53"/>
    </row>
    <row r="768">
      <c r="AE768" s="51"/>
      <c r="AG768" s="53"/>
      <c r="AR768" s="52"/>
      <c r="AU768" s="52"/>
      <c r="AY768" s="53"/>
    </row>
    <row r="769">
      <c r="AE769" s="51"/>
      <c r="AG769" s="53"/>
      <c r="AR769" s="52"/>
      <c r="AU769" s="52"/>
      <c r="AY769" s="53"/>
    </row>
    <row r="770">
      <c r="AE770" s="51"/>
      <c r="AG770" s="53"/>
      <c r="AR770" s="52"/>
      <c r="AU770" s="52"/>
      <c r="AY770" s="53"/>
    </row>
    <row r="771">
      <c r="AE771" s="51"/>
      <c r="AG771" s="53"/>
      <c r="AR771" s="52"/>
      <c r="AU771" s="52"/>
      <c r="AY771" s="53"/>
    </row>
    <row r="772">
      <c r="AE772" s="51"/>
      <c r="AG772" s="53"/>
      <c r="AR772" s="52"/>
      <c r="AU772" s="52"/>
      <c r="AY772" s="53"/>
    </row>
    <row r="773">
      <c r="AE773" s="51"/>
      <c r="AG773" s="53"/>
      <c r="AR773" s="52"/>
      <c r="AU773" s="52"/>
      <c r="AY773" s="53"/>
    </row>
    <row r="774">
      <c r="AE774" s="51"/>
      <c r="AG774" s="53"/>
      <c r="AR774" s="52"/>
      <c r="AU774" s="52"/>
      <c r="AY774" s="53"/>
    </row>
    <row r="775">
      <c r="AE775" s="51"/>
      <c r="AG775" s="53"/>
      <c r="AR775" s="52"/>
      <c r="AU775" s="52"/>
      <c r="AY775" s="53"/>
    </row>
    <row r="776">
      <c r="AE776" s="51"/>
      <c r="AG776" s="53"/>
      <c r="AR776" s="52"/>
      <c r="AU776" s="52"/>
      <c r="AY776" s="53"/>
    </row>
    <row r="777">
      <c r="AE777" s="51"/>
      <c r="AG777" s="53"/>
      <c r="AR777" s="52"/>
      <c r="AU777" s="52"/>
      <c r="AY777" s="53"/>
    </row>
    <row r="778">
      <c r="AE778" s="51"/>
      <c r="AG778" s="53"/>
      <c r="AR778" s="52"/>
      <c r="AU778" s="52"/>
      <c r="AY778" s="53"/>
    </row>
    <row r="779">
      <c r="AE779" s="51"/>
      <c r="AG779" s="53"/>
      <c r="AR779" s="52"/>
      <c r="AU779" s="52"/>
      <c r="AY779" s="53"/>
    </row>
    <row r="780">
      <c r="AE780" s="51"/>
      <c r="AG780" s="53"/>
      <c r="AR780" s="52"/>
      <c r="AU780" s="52"/>
      <c r="AY780" s="53"/>
    </row>
    <row r="781">
      <c r="AE781" s="51"/>
      <c r="AG781" s="53"/>
      <c r="AR781" s="52"/>
      <c r="AU781" s="52"/>
      <c r="AY781" s="53"/>
    </row>
    <row r="782">
      <c r="AE782" s="51"/>
      <c r="AG782" s="53"/>
      <c r="AR782" s="52"/>
      <c r="AU782" s="52"/>
      <c r="AY782" s="53"/>
    </row>
    <row r="783">
      <c r="AE783" s="51"/>
      <c r="AG783" s="53"/>
      <c r="AR783" s="52"/>
      <c r="AU783" s="52"/>
      <c r="AY783" s="53"/>
    </row>
    <row r="784">
      <c r="AE784" s="51"/>
      <c r="AG784" s="53"/>
      <c r="AR784" s="52"/>
      <c r="AU784" s="52"/>
      <c r="AY784" s="53"/>
    </row>
    <row r="785">
      <c r="AE785" s="51"/>
      <c r="AG785" s="53"/>
      <c r="AR785" s="52"/>
      <c r="AU785" s="52"/>
      <c r="AY785" s="53"/>
    </row>
    <row r="786">
      <c r="AE786" s="51"/>
      <c r="AG786" s="53"/>
      <c r="AR786" s="52"/>
      <c r="AU786" s="52"/>
      <c r="AY786" s="53"/>
    </row>
    <row r="787">
      <c r="AE787" s="51"/>
      <c r="AG787" s="53"/>
      <c r="AR787" s="52"/>
      <c r="AU787" s="52"/>
      <c r="AY787" s="53"/>
    </row>
    <row r="788">
      <c r="AE788" s="51"/>
      <c r="AG788" s="53"/>
      <c r="AR788" s="52"/>
      <c r="AU788" s="52"/>
      <c r="AY788" s="53"/>
    </row>
    <row r="789">
      <c r="AE789" s="51"/>
      <c r="AG789" s="53"/>
      <c r="AR789" s="52"/>
      <c r="AU789" s="52"/>
      <c r="AY789" s="53"/>
    </row>
    <row r="790">
      <c r="AE790" s="51"/>
      <c r="AG790" s="53"/>
      <c r="AR790" s="52"/>
      <c r="AU790" s="52"/>
      <c r="AY790" s="53"/>
    </row>
    <row r="791">
      <c r="AE791" s="51"/>
      <c r="AG791" s="53"/>
      <c r="AR791" s="52"/>
      <c r="AU791" s="52"/>
      <c r="AY791" s="53"/>
    </row>
    <row r="792">
      <c r="AE792" s="51"/>
      <c r="AG792" s="53"/>
      <c r="AR792" s="52"/>
      <c r="AU792" s="52"/>
      <c r="AY792" s="53"/>
    </row>
    <row r="793">
      <c r="AE793" s="51"/>
      <c r="AG793" s="53"/>
      <c r="AR793" s="52"/>
      <c r="AU793" s="52"/>
      <c r="AY793" s="53"/>
    </row>
    <row r="794">
      <c r="AE794" s="51"/>
      <c r="AG794" s="53"/>
      <c r="AR794" s="52"/>
      <c r="AU794" s="52"/>
      <c r="AY794" s="53"/>
    </row>
    <row r="795">
      <c r="AE795" s="51"/>
      <c r="AG795" s="53"/>
      <c r="AR795" s="52"/>
      <c r="AU795" s="52"/>
      <c r="AY795" s="53"/>
    </row>
    <row r="796">
      <c r="AE796" s="51"/>
      <c r="AG796" s="53"/>
      <c r="AR796" s="52"/>
      <c r="AU796" s="52"/>
      <c r="AY796" s="53"/>
    </row>
    <row r="797">
      <c r="AE797" s="51"/>
      <c r="AG797" s="53"/>
      <c r="AR797" s="52"/>
      <c r="AU797" s="52"/>
      <c r="AY797" s="53"/>
    </row>
    <row r="798">
      <c r="AE798" s="51"/>
      <c r="AG798" s="53"/>
      <c r="AR798" s="52"/>
      <c r="AU798" s="52"/>
      <c r="AY798" s="53"/>
    </row>
    <row r="799">
      <c r="AE799" s="51"/>
      <c r="AG799" s="53"/>
      <c r="AR799" s="52"/>
      <c r="AU799" s="52"/>
      <c r="AY799" s="53"/>
    </row>
    <row r="800">
      <c r="AE800" s="51"/>
      <c r="AG800" s="53"/>
      <c r="AR800" s="52"/>
      <c r="AU800" s="52"/>
      <c r="AY800" s="53"/>
    </row>
    <row r="801">
      <c r="AE801" s="51"/>
      <c r="AG801" s="53"/>
      <c r="AR801" s="52"/>
      <c r="AU801" s="52"/>
      <c r="AY801" s="53"/>
    </row>
    <row r="802">
      <c r="AE802" s="51"/>
      <c r="AG802" s="53"/>
      <c r="AR802" s="52"/>
      <c r="AU802" s="52"/>
      <c r="AY802" s="53"/>
    </row>
    <row r="803">
      <c r="AE803" s="51"/>
      <c r="AG803" s="53"/>
      <c r="AR803" s="52"/>
      <c r="AU803" s="52"/>
      <c r="AY803" s="53"/>
    </row>
    <row r="804">
      <c r="AE804" s="51"/>
      <c r="AG804" s="53"/>
      <c r="AR804" s="52"/>
      <c r="AU804" s="52"/>
      <c r="AY804" s="53"/>
    </row>
    <row r="805">
      <c r="AE805" s="51"/>
      <c r="AG805" s="53"/>
      <c r="AR805" s="52"/>
      <c r="AU805" s="52"/>
      <c r="AY805" s="53"/>
    </row>
    <row r="806">
      <c r="AE806" s="51"/>
      <c r="AG806" s="53"/>
      <c r="AR806" s="52"/>
      <c r="AU806" s="52"/>
      <c r="AY806" s="53"/>
    </row>
    <row r="807">
      <c r="AE807" s="51"/>
      <c r="AG807" s="53"/>
      <c r="AR807" s="52"/>
      <c r="AU807" s="52"/>
      <c r="AY807" s="53"/>
    </row>
    <row r="808">
      <c r="AE808" s="51"/>
      <c r="AG808" s="53"/>
      <c r="AR808" s="52"/>
      <c r="AU808" s="52"/>
      <c r="AY808" s="53"/>
    </row>
    <row r="809">
      <c r="AE809" s="51"/>
      <c r="AG809" s="53"/>
      <c r="AR809" s="52"/>
      <c r="AU809" s="52"/>
      <c r="AY809" s="53"/>
    </row>
    <row r="810">
      <c r="AE810" s="51"/>
      <c r="AG810" s="53"/>
      <c r="AR810" s="52"/>
      <c r="AU810" s="52"/>
      <c r="AY810" s="53"/>
    </row>
    <row r="811">
      <c r="AE811" s="51"/>
      <c r="AG811" s="53"/>
      <c r="AR811" s="52"/>
      <c r="AU811" s="52"/>
      <c r="AY811" s="53"/>
    </row>
    <row r="812">
      <c r="AE812" s="51"/>
      <c r="AG812" s="53"/>
      <c r="AR812" s="52"/>
      <c r="AU812" s="52"/>
      <c r="AY812" s="53"/>
    </row>
    <row r="813">
      <c r="AE813" s="51"/>
      <c r="AG813" s="53"/>
      <c r="AR813" s="52"/>
      <c r="AU813" s="52"/>
      <c r="AY813" s="53"/>
    </row>
    <row r="814">
      <c r="AE814" s="51"/>
      <c r="AG814" s="53"/>
      <c r="AR814" s="52"/>
      <c r="AU814" s="52"/>
      <c r="AY814" s="53"/>
    </row>
    <row r="815">
      <c r="AE815" s="51"/>
      <c r="AG815" s="53"/>
      <c r="AR815" s="52"/>
      <c r="AU815" s="52"/>
      <c r="AY815" s="53"/>
    </row>
    <row r="816">
      <c r="AE816" s="51"/>
      <c r="AG816" s="53"/>
      <c r="AR816" s="52"/>
      <c r="AU816" s="52"/>
      <c r="AY816" s="53"/>
    </row>
    <row r="817">
      <c r="AE817" s="51"/>
      <c r="AG817" s="53"/>
      <c r="AR817" s="52"/>
      <c r="AU817" s="52"/>
      <c r="AY817" s="53"/>
    </row>
    <row r="818">
      <c r="AE818" s="51"/>
      <c r="AG818" s="53"/>
      <c r="AR818" s="52"/>
      <c r="AU818" s="52"/>
      <c r="AY818" s="53"/>
    </row>
    <row r="819">
      <c r="AE819" s="51"/>
      <c r="AG819" s="53"/>
      <c r="AR819" s="52"/>
      <c r="AU819" s="52"/>
      <c r="AY819" s="53"/>
    </row>
    <row r="820">
      <c r="AE820" s="51"/>
      <c r="AG820" s="53"/>
      <c r="AR820" s="52"/>
      <c r="AU820" s="52"/>
      <c r="AY820" s="53"/>
    </row>
    <row r="821">
      <c r="AE821" s="51"/>
      <c r="AG821" s="53"/>
      <c r="AR821" s="52"/>
      <c r="AU821" s="52"/>
      <c r="AY821" s="53"/>
    </row>
    <row r="822">
      <c r="AE822" s="51"/>
      <c r="AG822" s="53"/>
      <c r="AR822" s="52"/>
      <c r="AU822" s="52"/>
      <c r="AY822" s="53"/>
    </row>
    <row r="823">
      <c r="AE823" s="51"/>
      <c r="AG823" s="53"/>
      <c r="AR823" s="52"/>
      <c r="AU823" s="52"/>
      <c r="AY823" s="53"/>
    </row>
    <row r="824">
      <c r="AE824" s="51"/>
      <c r="AG824" s="53"/>
      <c r="AR824" s="52"/>
      <c r="AU824" s="52"/>
      <c r="AY824" s="53"/>
    </row>
    <row r="825">
      <c r="AE825" s="51"/>
      <c r="AG825" s="53"/>
      <c r="AR825" s="52"/>
      <c r="AU825" s="52"/>
      <c r="AY825" s="53"/>
    </row>
    <row r="826">
      <c r="AE826" s="51"/>
      <c r="AG826" s="53"/>
      <c r="AR826" s="52"/>
      <c r="AU826" s="52"/>
      <c r="AY826" s="53"/>
    </row>
    <row r="827">
      <c r="AE827" s="51"/>
      <c r="AG827" s="53"/>
      <c r="AR827" s="52"/>
      <c r="AU827" s="52"/>
      <c r="AY827" s="53"/>
    </row>
    <row r="828">
      <c r="AE828" s="51"/>
      <c r="AG828" s="53"/>
      <c r="AR828" s="52"/>
      <c r="AU828" s="52"/>
      <c r="AY828" s="53"/>
    </row>
    <row r="829">
      <c r="AE829" s="51"/>
      <c r="AG829" s="53"/>
      <c r="AR829" s="52"/>
      <c r="AU829" s="52"/>
      <c r="AY829" s="53"/>
    </row>
    <row r="830">
      <c r="AE830" s="51"/>
      <c r="AG830" s="53"/>
      <c r="AR830" s="52"/>
      <c r="AU830" s="52"/>
      <c r="AY830" s="53"/>
    </row>
    <row r="831">
      <c r="AE831" s="51"/>
      <c r="AG831" s="53"/>
      <c r="AR831" s="52"/>
      <c r="AU831" s="52"/>
      <c r="AY831" s="53"/>
    </row>
    <row r="832">
      <c r="AE832" s="51"/>
      <c r="AG832" s="53"/>
      <c r="AR832" s="52"/>
      <c r="AU832" s="52"/>
      <c r="AY832" s="53"/>
    </row>
    <row r="833">
      <c r="AE833" s="51"/>
      <c r="AG833" s="53"/>
      <c r="AR833" s="52"/>
      <c r="AU833" s="52"/>
      <c r="AY833" s="53"/>
    </row>
    <row r="834">
      <c r="AE834" s="51"/>
      <c r="AG834" s="53"/>
      <c r="AR834" s="52"/>
      <c r="AU834" s="52"/>
      <c r="AY834" s="53"/>
    </row>
    <row r="835">
      <c r="AE835" s="51"/>
      <c r="AG835" s="53"/>
      <c r="AR835" s="52"/>
      <c r="AU835" s="52"/>
      <c r="AY835" s="53"/>
    </row>
    <row r="836">
      <c r="AE836" s="51"/>
      <c r="AG836" s="53"/>
      <c r="AR836" s="52"/>
      <c r="AU836" s="52"/>
      <c r="AY836" s="53"/>
    </row>
    <row r="837">
      <c r="AE837" s="51"/>
      <c r="AG837" s="53"/>
      <c r="AR837" s="52"/>
      <c r="AU837" s="52"/>
      <c r="AY837" s="53"/>
    </row>
    <row r="838">
      <c r="AE838" s="51"/>
      <c r="AG838" s="53"/>
      <c r="AR838" s="52"/>
      <c r="AU838" s="52"/>
      <c r="AY838" s="53"/>
    </row>
    <row r="839">
      <c r="AE839" s="51"/>
      <c r="AG839" s="53"/>
      <c r="AR839" s="52"/>
      <c r="AU839" s="52"/>
      <c r="AY839" s="53"/>
    </row>
    <row r="840">
      <c r="AE840" s="51"/>
      <c r="AG840" s="53"/>
      <c r="AR840" s="52"/>
      <c r="AU840" s="52"/>
      <c r="AY840" s="53"/>
    </row>
    <row r="841">
      <c r="AE841" s="51"/>
      <c r="AG841" s="53"/>
      <c r="AR841" s="52"/>
      <c r="AU841" s="52"/>
      <c r="AY841" s="53"/>
    </row>
    <row r="842">
      <c r="AE842" s="51"/>
      <c r="AG842" s="53"/>
      <c r="AR842" s="52"/>
      <c r="AU842" s="52"/>
      <c r="AY842" s="53"/>
    </row>
    <row r="843">
      <c r="AE843" s="51"/>
      <c r="AG843" s="53"/>
      <c r="AR843" s="52"/>
      <c r="AU843" s="52"/>
      <c r="AY843" s="53"/>
    </row>
    <row r="844">
      <c r="AE844" s="51"/>
      <c r="AG844" s="53"/>
      <c r="AR844" s="52"/>
      <c r="AU844" s="52"/>
      <c r="AY844" s="53"/>
    </row>
    <row r="845">
      <c r="AE845" s="51"/>
      <c r="AG845" s="53"/>
      <c r="AR845" s="52"/>
      <c r="AU845" s="52"/>
      <c r="AY845" s="53"/>
    </row>
    <row r="846">
      <c r="AE846" s="51"/>
      <c r="AG846" s="53"/>
      <c r="AR846" s="52"/>
      <c r="AU846" s="52"/>
      <c r="AY846" s="53"/>
    </row>
    <row r="847">
      <c r="AE847" s="51"/>
      <c r="AG847" s="53"/>
      <c r="AR847" s="52"/>
      <c r="AU847" s="52"/>
      <c r="AY847" s="53"/>
    </row>
    <row r="848">
      <c r="AE848" s="51"/>
      <c r="AG848" s="53"/>
      <c r="AR848" s="52"/>
      <c r="AU848" s="52"/>
      <c r="AY848" s="53"/>
    </row>
    <row r="849">
      <c r="AE849" s="51"/>
      <c r="AG849" s="53"/>
      <c r="AR849" s="52"/>
      <c r="AU849" s="52"/>
      <c r="AY849" s="53"/>
    </row>
    <row r="850">
      <c r="AE850" s="51"/>
      <c r="AG850" s="53"/>
      <c r="AR850" s="52"/>
      <c r="AU850" s="52"/>
      <c r="AY850" s="53"/>
    </row>
    <row r="851">
      <c r="AE851" s="51"/>
      <c r="AG851" s="53"/>
      <c r="AR851" s="52"/>
      <c r="AU851" s="52"/>
      <c r="AY851" s="53"/>
    </row>
    <row r="852">
      <c r="AE852" s="51"/>
      <c r="AG852" s="53"/>
      <c r="AR852" s="52"/>
      <c r="AU852" s="52"/>
      <c r="AY852" s="53"/>
    </row>
    <row r="853">
      <c r="AE853" s="51"/>
      <c r="AG853" s="53"/>
      <c r="AR853" s="52"/>
      <c r="AU853" s="52"/>
      <c r="AY853" s="53"/>
    </row>
    <row r="854">
      <c r="AE854" s="51"/>
      <c r="AG854" s="53"/>
      <c r="AR854" s="52"/>
      <c r="AU854" s="52"/>
      <c r="AY854" s="53"/>
    </row>
    <row r="855">
      <c r="AE855" s="51"/>
      <c r="AG855" s="53"/>
      <c r="AR855" s="52"/>
      <c r="AU855" s="52"/>
      <c r="AY855" s="53"/>
    </row>
    <row r="856">
      <c r="AE856" s="51"/>
      <c r="AG856" s="53"/>
      <c r="AR856" s="52"/>
      <c r="AU856" s="52"/>
      <c r="AY856" s="53"/>
    </row>
    <row r="857">
      <c r="AE857" s="51"/>
      <c r="AG857" s="53"/>
      <c r="AR857" s="52"/>
      <c r="AU857" s="52"/>
      <c r="AY857" s="53"/>
    </row>
    <row r="858">
      <c r="AE858" s="51"/>
      <c r="AG858" s="53"/>
      <c r="AR858" s="52"/>
      <c r="AU858" s="52"/>
      <c r="AY858" s="53"/>
    </row>
    <row r="859">
      <c r="AE859" s="51"/>
      <c r="AG859" s="53"/>
      <c r="AR859" s="52"/>
      <c r="AU859" s="52"/>
      <c r="AY859" s="53"/>
    </row>
    <row r="860">
      <c r="AE860" s="51"/>
      <c r="AG860" s="53"/>
      <c r="AR860" s="52"/>
      <c r="AU860" s="52"/>
      <c r="AY860" s="53"/>
    </row>
    <row r="861">
      <c r="AE861" s="51"/>
      <c r="AG861" s="53"/>
      <c r="AR861" s="52"/>
      <c r="AU861" s="52"/>
      <c r="AY861" s="53"/>
    </row>
    <row r="862">
      <c r="AE862" s="51"/>
      <c r="AG862" s="53"/>
      <c r="AR862" s="52"/>
      <c r="AU862" s="52"/>
      <c r="AY862" s="53"/>
    </row>
    <row r="863">
      <c r="AE863" s="51"/>
      <c r="AG863" s="53"/>
      <c r="AR863" s="52"/>
      <c r="AU863" s="52"/>
      <c r="AY863" s="53"/>
    </row>
    <row r="864">
      <c r="AE864" s="51"/>
      <c r="AG864" s="53"/>
      <c r="AR864" s="52"/>
      <c r="AU864" s="52"/>
      <c r="AY864" s="53"/>
    </row>
    <row r="865">
      <c r="AE865" s="51"/>
      <c r="AG865" s="53"/>
      <c r="AR865" s="52"/>
      <c r="AU865" s="52"/>
      <c r="AY865" s="53"/>
    </row>
    <row r="866">
      <c r="AE866" s="51"/>
      <c r="AG866" s="53"/>
      <c r="AR866" s="52"/>
      <c r="AU866" s="52"/>
      <c r="AY866" s="53"/>
    </row>
    <row r="867">
      <c r="AE867" s="51"/>
      <c r="AG867" s="53"/>
      <c r="AR867" s="52"/>
      <c r="AU867" s="52"/>
      <c r="AY867" s="53"/>
    </row>
    <row r="868">
      <c r="AE868" s="51"/>
      <c r="AG868" s="53"/>
      <c r="AR868" s="52"/>
      <c r="AU868" s="52"/>
      <c r="AY868" s="53"/>
    </row>
    <row r="869">
      <c r="AE869" s="51"/>
      <c r="AG869" s="53"/>
      <c r="AR869" s="52"/>
      <c r="AU869" s="52"/>
      <c r="AY869" s="53"/>
    </row>
    <row r="870">
      <c r="AE870" s="51"/>
      <c r="AG870" s="53"/>
      <c r="AR870" s="52"/>
      <c r="AU870" s="52"/>
      <c r="AY870" s="53"/>
    </row>
    <row r="871">
      <c r="AE871" s="51"/>
      <c r="AG871" s="53"/>
      <c r="AR871" s="52"/>
      <c r="AU871" s="52"/>
      <c r="AY871" s="53"/>
    </row>
    <row r="872">
      <c r="AE872" s="51"/>
      <c r="AG872" s="53"/>
      <c r="AR872" s="52"/>
      <c r="AU872" s="52"/>
      <c r="AY872" s="53"/>
    </row>
    <row r="873">
      <c r="AE873" s="51"/>
      <c r="AG873" s="53"/>
      <c r="AR873" s="52"/>
      <c r="AU873" s="52"/>
      <c r="AY873" s="53"/>
    </row>
    <row r="874">
      <c r="AE874" s="51"/>
      <c r="AG874" s="53"/>
      <c r="AR874" s="52"/>
      <c r="AU874" s="52"/>
      <c r="AY874" s="53"/>
    </row>
    <row r="875">
      <c r="AE875" s="51"/>
      <c r="AG875" s="53"/>
      <c r="AR875" s="52"/>
      <c r="AU875" s="52"/>
      <c r="AY875" s="53"/>
    </row>
    <row r="876">
      <c r="AE876" s="51"/>
      <c r="AG876" s="53"/>
      <c r="AR876" s="52"/>
      <c r="AU876" s="52"/>
      <c r="AY876" s="53"/>
    </row>
    <row r="877">
      <c r="AE877" s="51"/>
      <c r="AG877" s="53"/>
      <c r="AR877" s="52"/>
      <c r="AU877" s="52"/>
      <c r="AY877" s="53"/>
    </row>
    <row r="878">
      <c r="AE878" s="51"/>
      <c r="AG878" s="53"/>
      <c r="AR878" s="52"/>
      <c r="AU878" s="52"/>
      <c r="AY878" s="53"/>
    </row>
    <row r="879">
      <c r="AE879" s="51"/>
      <c r="AG879" s="53"/>
      <c r="AR879" s="52"/>
      <c r="AU879" s="52"/>
      <c r="AY879" s="53"/>
    </row>
    <row r="880">
      <c r="AE880" s="51"/>
      <c r="AG880" s="53"/>
      <c r="AR880" s="52"/>
      <c r="AU880" s="52"/>
      <c r="AY880" s="53"/>
    </row>
    <row r="881">
      <c r="AE881" s="51"/>
      <c r="AG881" s="53"/>
      <c r="AR881" s="52"/>
      <c r="AU881" s="52"/>
      <c r="AY881" s="53"/>
    </row>
    <row r="882">
      <c r="AE882" s="51"/>
      <c r="AG882" s="53"/>
      <c r="AR882" s="52"/>
      <c r="AU882" s="52"/>
      <c r="AY882" s="53"/>
    </row>
    <row r="883">
      <c r="AE883" s="51"/>
      <c r="AG883" s="53"/>
      <c r="AR883" s="52"/>
      <c r="AU883" s="52"/>
      <c r="AY883" s="53"/>
    </row>
    <row r="884">
      <c r="AE884" s="51"/>
      <c r="AG884" s="53"/>
      <c r="AR884" s="52"/>
      <c r="AU884" s="52"/>
      <c r="AY884" s="53"/>
    </row>
    <row r="885">
      <c r="AE885" s="51"/>
      <c r="AG885" s="53"/>
      <c r="AR885" s="52"/>
      <c r="AU885" s="52"/>
      <c r="AY885" s="53"/>
    </row>
    <row r="886">
      <c r="AE886" s="51"/>
      <c r="AG886" s="53"/>
      <c r="AR886" s="52"/>
      <c r="AU886" s="52"/>
      <c r="AY886" s="53"/>
    </row>
    <row r="887">
      <c r="AE887" s="51"/>
      <c r="AG887" s="53"/>
      <c r="AR887" s="52"/>
      <c r="AU887" s="52"/>
      <c r="AY887" s="53"/>
    </row>
    <row r="888">
      <c r="AE888" s="51"/>
      <c r="AG888" s="53"/>
      <c r="AR888" s="52"/>
      <c r="AU888" s="52"/>
      <c r="AY888" s="53"/>
    </row>
    <row r="889">
      <c r="AE889" s="51"/>
      <c r="AG889" s="53"/>
      <c r="AR889" s="52"/>
      <c r="AU889" s="52"/>
      <c r="AY889" s="53"/>
    </row>
    <row r="890">
      <c r="AE890" s="51"/>
      <c r="AG890" s="53"/>
      <c r="AR890" s="52"/>
      <c r="AU890" s="52"/>
      <c r="AY890" s="53"/>
    </row>
    <row r="891">
      <c r="AE891" s="51"/>
      <c r="AG891" s="53"/>
      <c r="AR891" s="52"/>
      <c r="AU891" s="52"/>
      <c r="AY891" s="53"/>
    </row>
    <row r="892">
      <c r="AE892" s="51"/>
      <c r="AG892" s="53"/>
      <c r="AR892" s="52"/>
      <c r="AU892" s="52"/>
      <c r="AY892" s="53"/>
    </row>
    <row r="893">
      <c r="AE893" s="51"/>
      <c r="AG893" s="53"/>
      <c r="AR893" s="52"/>
      <c r="AU893" s="52"/>
      <c r="AY893" s="53"/>
    </row>
    <row r="894">
      <c r="AE894" s="51"/>
      <c r="AG894" s="53"/>
      <c r="AR894" s="52"/>
      <c r="AU894" s="52"/>
      <c r="AY894" s="53"/>
    </row>
    <row r="895">
      <c r="AE895" s="51"/>
      <c r="AG895" s="53"/>
      <c r="AR895" s="52"/>
      <c r="AU895" s="52"/>
      <c r="AY895" s="53"/>
    </row>
    <row r="896">
      <c r="AE896" s="51"/>
      <c r="AG896" s="53"/>
      <c r="AR896" s="52"/>
      <c r="AU896" s="52"/>
      <c r="AY896" s="53"/>
    </row>
    <row r="897">
      <c r="AE897" s="51"/>
      <c r="AG897" s="53"/>
      <c r="AR897" s="52"/>
      <c r="AU897" s="52"/>
      <c r="AY897" s="53"/>
    </row>
    <row r="898">
      <c r="AE898" s="51"/>
      <c r="AG898" s="53"/>
      <c r="AR898" s="52"/>
      <c r="AU898" s="52"/>
      <c r="AY898" s="53"/>
    </row>
    <row r="899">
      <c r="AE899" s="51"/>
      <c r="AG899" s="53"/>
      <c r="AR899" s="52"/>
      <c r="AU899" s="52"/>
      <c r="AY899" s="53"/>
    </row>
    <row r="900">
      <c r="AE900" s="51"/>
      <c r="AG900" s="53"/>
      <c r="AR900" s="52"/>
      <c r="AU900" s="52"/>
      <c r="AY900" s="53"/>
    </row>
    <row r="901">
      <c r="AE901" s="51"/>
      <c r="AG901" s="53"/>
      <c r="AR901" s="52"/>
      <c r="AU901" s="52"/>
      <c r="AY901" s="53"/>
    </row>
    <row r="902">
      <c r="AE902" s="51"/>
      <c r="AG902" s="53"/>
      <c r="AR902" s="52"/>
      <c r="AU902" s="52"/>
      <c r="AY902" s="53"/>
    </row>
    <row r="903">
      <c r="AE903" s="51"/>
      <c r="AG903" s="53"/>
      <c r="AR903" s="52"/>
      <c r="AU903" s="52"/>
      <c r="AY903" s="53"/>
    </row>
    <row r="904">
      <c r="AE904" s="51"/>
      <c r="AG904" s="53"/>
      <c r="AR904" s="52"/>
      <c r="AU904" s="52"/>
      <c r="AY904" s="53"/>
    </row>
    <row r="905">
      <c r="AE905" s="51"/>
      <c r="AG905" s="53"/>
      <c r="AR905" s="52"/>
      <c r="AU905" s="52"/>
      <c r="AY905" s="53"/>
    </row>
    <row r="906">
      <c r="AE906" s="51"/>
      <c r="AG906" s="53"/>
      <c r="AR906" s="52"/>
      <c r="AU906" s="52"/>
      <c r="AY906" s="53"/>
    </row>
    <row r="907">
      <c r="AE907" s="51"/>
      <c r="AG907" s="53"/>
      <c r="AR907" s="52"/>
      <c r="AU907" s="52"/>
      <c r="AY907" s="53"/>
    </row>
    <row r="908">
      <c r="AE908" s="51"/>
      <c r="AG908" s="53"/>
      <c r="AR908" s="52"/>
      <c r="AU908" s="52"/>
      <c r="AY908" s="53"/>
    </row>
    <row r="909">
      <c r="AE909" s="51"/>
      <c r="AG909" s="53"/>
      <c r="AR909" s="52"/>
      <c r="AU909" s="52"/>
      <c r="AY909" s="53"/>
    </row>
    <row r="910">
      <c r="AE910" s="51"/>
      <c r="AG910" s="53"/>
      <c r="AR910" s="52"/>
      <c r="AU910" s="52"/>
      <c r="AY910" s="53"/>
    </row>
    <row r="911">
      <c r="AE911" s="51"/>
      <c r="AG911" s="53"/>
      <c r="AR911" s="52"/>
      <c r="AU911" s="52"/>
      <c r="AY911" s="53"/>
    </row>
    <row r="912">
      <c r="AE912" s="51"/>
      <c r="AG912" s="53"/>
      <c r="AR912" s="52"/>
      <c r="AU912" s="52"/>
      <c r="AY912" s="53"/>
    </row>
    <row r="913">
      <c r="AE913" s="51"/>
      <c r="AG913" s="53"/>
      <c r="AR913" s="52"/>
      <c r="AU913" s="52"/>
      <c r="AY913" s="53"/>
    </row>
    <row r="914">
      <c r="AE914" s="51"/>
      <c r="AG914" s="53"/>
      <c r="AR914" s="52"/>
      <c r="AU914" s="52"/>
      <c r="AY914" s="53"/>
    </row>
    <row r="915">
      <c r="AE915" s="51"/>
      <c r="AG915" s="53"/>
      <c r="AR915" s="52"/>
      <c r="AU915" s="52"/>
      <c r="AY915" s="53"/>
    </row>
    <row r="916">
      <c r="AE916" s="51"/>
      <c r="AG916" s="53"/>
      <c r="AR916" s="52"/>
      <c r="AU916" s="52"/>
      <c r="AY916" s="53"/>
    </row>
    <row r="917">
      <c r="AE917" s="51"/>
      <c r="AG917" s="53"/>
      <c r="AR917" s="52"/>
      <c r="AU917" s="52"/>
      <c r="AY917" s="53"/>
    </row>
    <row r="918">
      <c r="AE918" s="51"/>
      <c r="AG918" s="53"/>
      <c r="AR918" s="52"/>
      <c r="AU918" s="52"/>
      <c r="AY918" s="53"/>
    </row>
    <row r="919">
      <c r="AE919" s="51"/>
      <c r="AG919" s="53"/>
      <c r="AR919" s="52"/>
      <c r="AU919" s="52"/>
      <c r="AY919" s="53"/>
    </row>
    <row r="920">
      <c r="AE920" s="51"/>
      <c r="AG920" s="53"/>
      <c r="AR920" s="52"/>
      <c r="AU920" s="52"/>
      <c r="AY920" s="53"/>
    </row>
    <row r="921">
      <c r="AE921" s="51"/>
      <c r="AG921" s="53"/>
      <c r="AR921" s="52"/>
      <c r="AU921" s="52"/>
      <c r="AY921" s="53"/>
    </row>
    <row r="922">
      <c r="AE922" s="51"/>
      <c r="AG922" s="53"/>
      <c r="AR922" s="52"/>
      <c r="AU922" s="52"/>
      <c r="AY922" s="53"/>
    </row>
    <row r="923">
      <c r="AE923" s="51"/>
      <c r="AG923" s="53"/>
      <c r="AR923" s="52"/>
      <c r="AU923" s="52"/>
      <c r="AY923" s="53"/>
    </row>
    <row r="924">
      <c r="AE924" s="51"/>
      <c r="AG924" s="53"/>
      <c r="AR924" s="52"/>
      <c r="AU924" s="52"/>
      <c r="AY924" s="53"/>
    </row>
    <row r="925">
      <c r="AE925" s="51"/>
      <c r="AG925" s="53"/>
      <c r="AR925" s="52"/>
      <c r="AU925" s="52"/>
      <c r="AY925" s="53"/>
    </row>
    <row r="926">
      <c r="AE926" s="51"/>
      <c r="AG926" s="53"/>
      <c r="AR926" s="52"/>
      <c r="AU926" s="52"/>
      <c r="AY926" s="53"/>
    </row>
    <row r="927">
      <c r="AE927" s="51"/>
      <c r="AG927" s="53"/>
      <c r="AR927" s="52"/>
      <c r="AU927" s="52"/>
      <c r="AY927" s="53"/>
    </row>
    <row r="928">
      <c r="AE928" s="51"/>
      <c r="AG928" s="53"/>
      <c r="AR928" s="52"/>
      <c r="AU928" s="52"/>
      <c r="AY928" s="53"/>
    </row>
    <row r="929">
      <c r="AE929" s="51"/>
      <c r="AG929" s="53"/>
      <c r="AR929" s="52"/>
      <c r="AU929" s="52"/>
      <c r="AY929" s="53"/>
    </row>
    <row r="930">
      <c r="AE930" s="51"/>
      <c r="AG930" s="53"/>
      <c r="AR930" s="52"/>
      <c r="AU930" s="52"/>
      <c r="AY930" s="53"/>
    </row>
    <row r="931">
      <c r="AE931" s="51"/>
      <c r="AG931" s="53"/>
      <c r="AR931" s="52"/>
      <c r="AU931" s="52"/>
      <c r="AY931" s="53"/>
    </row>
    <row r="932">
      <c r="AE932" s="51"/>
      <c r="AG932" s="53"/>
      <c r="AR932" s="52"/>
      <c r="AU932" s="52"/>
      <c r="AY932" s="53"/>
    </row>
    <row r="933">
      <c r="AE933" s="51"/>
      <c r="AG933" s="53"/>
      <c r="AR933" s="52"/>
      <c r="AU933" s="52"/>
      <c r="AY933" s="53"/>
    </row>
    <row r="934">
      <c r="AE934" s="51"/>
      <c r="AG934" s="53"/>
      <c r="AR934" s="52"/>
      <c r="AU934" s="52"/>
      <c r="AY934" s="53"/>
    </row>
    <row r="935">
      <c r="AE935" s="51"/>
      <c r="AG935" s="53"/>
      <c r="AR935" s="52"/>
      <c r="AU935" s="52"/>
      <c r="AY935" s="53"/>
    </row>
    <row r="936">
      <c r="AE936" s="51"/>
      <c r="AG936" s="53"/>
      <c r="AR936" s="52"/>
      <c r="AU936" s="52"/>
      <c r="AY936" s="53"/>
    </row>
    <row r="937">
      <c r="AE937" s="51"/>
      <c r="AG937" s="53"/>
      <c r="AR937" s="52"/>
      <c r="AU937" s="52"/>
      <c r="AY937" s="53"/>
    </row>
    <row r="938">
      <c r="AE938" s="51"/>
      <c r="AG938" s="53"/>
      <c r="AR938" s="52"/>
      <c r="AU938" s="52"/>
      <c r="AY938" s="53"/>
    </row>
    <row r="939">
      <c r="AE939" s="51"/>
      <c r="AG939" s="53"/>
      <c r="AR939" s="52"/>
      <c r="AU939" s="52"/>
      <c r="AY939" s="53"/>
    </row>
    <row r="940">
      <c r="AE940" s="51"/>
      <c r="AG940" s="53"/>
      <c r="AR940" s="52"/>
      <c r="AU940" s="52"/>
      <c r="AY940" s="53"/>
    </row>
    <row r="941">
      <c r="AE941" s="51"/>
      <c r="AG941" s="53"/>
      <c r="AR941" s="52"/>
      <c r="AU941" s="52"/>
      <c r="AY941" s="53"/>
    </row>
    <row r="942">
      <c r="AE942" s="51"/>
      <c r="AG942" s="53"/>
      <c r="AR942" s="52"/>
      <c r="AU942" s="52"/>
      <c r="AY942" s="53"/>
    </row>
    <row r="943">
      <c r="AE943" s="51"/>
      <c r="AG943" s="53"/>
      <c r="AR943" s="52"/>
      <c r="AU943" s="52"/>
      <c r="AY943" s="53"/>
    </row>
    <row r="944">
      <c r="AE944" s="51"/>
      <c r="AG944" s="53"/>
      <c r="AR944" s="52"/>
      <c r="AU944" s="52"/>
      <c r="AY944" s="53"/>
    </row>
    <row r="945">
      <c r="AE945" s="51"/>
      <c r="AG945" s="53"/>
      <c r="AR945" s="52"/>
      <c r="AU945" s="52"/>
      <c r="AY945" s="53"/>
    </row>
    <row r="946">
      <c r="AE946" s="51"/>
      <c r="AG946" s="53"/>
      <c r="AR946" s="52"/>
      <c r="AU946" s="52"/>
      <c r="AY946" s="53"/>
    </row>
    <row r="947">
      <c r="AE947" s="51"/>
      <c r="AG947" s="53"/>
      <c r="AR947" s="52"/>
      <c r="AU947" s="52"/>
      <c r="AY947" s="53"/>
    </row>
    <row r="948">
      <c r="AE948" s="51"/>
      <c r="AG948" s="53"/>
      <c r="AR948" s="52"/>
      <c r="AU948" s="52"/>
      <c r="AY948" s="53"/>
    </row>
    <row r="949">
      <c r="AE949" s="51"/>
      <c r="AG949" s="53"/>
      <c r="AR949" s="52"/>
      <c r="AU949" s="52"/>
      <c r="AY949" s="53"/>
    </row>
    <row r="950">
      <c r="AE950" s="51"/>
      <c r="AG950" s="53"/>
      <c r="AR950" s="52"/>
      <c r="AU950" s="52"/>
      <c r="AY950" s="53"/>
    </row>
    <row r="951">
      <c r="AE951" s="51"/>
      <c r="AG951" s="53"/>
      <c r="AR951" s="52"/>
      <c r="AU951" s="52"/>
      <c r="AY951" s="53"/>
    </row>
    <row r="952">
      <c r="AE952" s="51"/>
      <c r="AG952" s="53"/>
      <c r="AR952" s="52"/>
      <c r="AU952" s="52"/>
      <c r="AY952" s="53"/>
    </row>
    <row r="953">
      <c r="AE953" s="51"/>
      <c r="AG953" s="53"/>
      <c r="AR953" s="52"/>
      <c r="AU953" s="52"/>
      <c r="AY953" s="53"/>
    </row>
    <row r="954">
      <c r="AE954" s="51"/>
      <c r="AG954" s="53"/>
      <c r="AR954" s="52"/>
      <c r="AU954" s="52"/>
      <c r="AY954" s="53"/>
    </row>
    <row r="955">
      <c r="AE955" s="51"/>
      <c r="AG955" s="53"/>
      <c r="AR955" s="52"/>
      <c r="AU955" s="52"/>
      <c r="AY955" s="53"/>
    </row>
    <row r="956">
      <c r="AE956" s="51"/>
      <c r="AG956" s="53"/>
      <c r="AR956" s="52"/>
      <c r="AU956" s="52"/>
      <c r="AY956" s="53"/>
    </row>
    <row r="957">
      <c r="AE957" s="51"/>
      <c r="AG957" s="53"/>
      <c r="AR957" s="52"/>
      <c r="AU957" s="52"/>
      <c r="AY957" s="53"/>
    </row>
    <row r="958">
      <c r="AE958" s="51"/>
      <c r="AG958" s="53"/>
      <c r="AR958" s="52"/>
      <c r="AU958" s="52"/>
      <c r="AY958" s="53"/>
    </row>
    <row r="959">
      <c r="AE959" s="51"/>
      <c r="AG959" s="53"/>
      <c r="AR959" s="52"/>
      <c r="AU959" s="52"/>
      <c r="AY959" s="53"/>
    </row>
    <row r="960">
      <c r="AE960" s="51"/>
      <c r="AG960" s="53"/>
      <c r="AR960" s="52"/>
      <c r="AU960" s="52"/>
      <c r="AY960" s="53"/>
    </row>
    <row r="961">
      <c r="AE961" s="51"/>
      <c r="AG961" s="53"/>
      <c r="AR961" s="52"/>
      <c r="AU961" s="52"/>
      <c r="AY961" s="53"/>
    </row>
    <row r="962">
      <c r="AE962" s="51"/>
      <c r="AG962" s="53"/>
      <c r="AR962" s="52"/>
      <c r="AU962" s="52"/>
      <c r="AY962" s="53"/>
    </row>
    <row r="963">
      <c r="AE963" s="51"/>
      <c r="AG963" s="53"/>
      <c r="AR963" s="52"/>
      <c r="AU963" s="52"/>
      <c r="AY963" s="53"/>
    </row>
    <row r="964">
      <c r="AE964" s="51"/>
      <c r="AG964" s="53"/>
      <c r="AR964" s="52"/>
      <c r="AU964" s="52"/>
      <c r="AY964" s="53"/>
    </row>
    <row r="965">
      <c r="AE965" s="51"/>
      <c r="AG965" s="53"/>
      <c r="AR965" s="52"/>
      <c r="AU965" s="52"/>
      <c r="AY965" s="53"/>
    </row>
    <row r="966">
      <c r="AE966" s="51"/>
      <c r="AG966" s="53"/>
      <c r="AR966" s="52"/>
      <c r="AU966" s="52"/>
      <c r="AY966" s="53"/>
    </row>
    <row r="967">
      <c r="AE967" s="51"/>
      <c r="AG967" s="53"/>
      <c r="AR967" s="52"/>
      <c r="AU967" s="52"/>
      <c r="AY967" s="53"/>
    </row>
    <row r="968">
      <c r="AE968" s="51"/>
      <c r="AG968" s="53"/>
      <c r="AR968" s="52"/>
      <c r="AU968" s="52"/>
      <c r="AY968" s="53"/>
    </row>
    <row r="969">
      <c r="AE969" s="51"/>
      <c r="AG969" s="53"/>
      <c r="AR969" s="52"/>
      <c r="AU969" s="52"/>
      <c r="AY969" s="53"/>
    </row>
    <row r="970">
      <c r="AE970" s="51"/>
      <c r="AG970" s="53"/>
      <c r="AR970" s="52"/>
      <c r="AU970" s="52"/>
      <c r="AY970" s="53"/>
    </row>
    <row r="971">
      <c r="AE971" s="51"/>
      <c r="AG971" s="53"/>
      <c r="AR971" s="52"/>
      <c r="AU971" s="52"/>
      <c r="AY971" s="53"/>
    </row>
    <row r="972">
      <c r="AE972" s="51"/>
      <c r="AG972" s="53"/>
      <c r="AR972" s="52"/>
      <c r="AU972" s="52"/>
      <c r="AY972" s="53"/>
    </row>
    <row r="973">
      <c r="AE973" s="51"/>
      <c r="AG973" s="53"/>
      <c r="AR973" s="52"/>
      <c r="AU973" s="52"/>
      <c r="AY973" s="53"/>
    </row>
    <row r="974">
      <c r="AE974" s="51"/>
      <c r="AG974" s="53"/>
      <c r="AR974" s="52"/>
      <c r="AU974" s="52"/>
      <c r="AY974" s="53"/>
    </row>
    <row r="975">
      <c r="AE975" s="51"/>
      <c r="AG975" s="53"/>
      <c r="AR975" s="52"/>
      <c r="AU975" s="52"/>
      <c r="AY975" s="53"/>
    </row>
    <row r="976">
      <c r="AE976" s="51"/>
      <c r="AG976" s="53"/>
      <c r="AR976" s="52"/>
      <c r="AU976" s="52"/>
      <c r="AY976" s="53"/>
    </row>
    <row r="977">
      <c r="AE977" s="51"/>
      <c r="AG977" s="53"/>
      <c r="AR977" s="52"/>
      <c r="AU977" s="52"/>
      <c r="AY977" s="53"/>
    </row>
    <row r="978">
      <c r="AE978" s="51"/>
      <c r="AG978" s="53"/>
      <c r="AR978" s="52"/>
      <c r="AU978" s="52"/>
      <c r="AY978" s="53"/>
    </row>
    <row r="979">
      <c r="AE979" s="51"/>
      <c r="AG979" s="53"/>
      <c r="AR979" s="52"/>
      <c r="AU979" s="52"/>
      <c r="AY979" s="53"/>
    </row>
    <row r="980">
      <c r="AE980" s="51"/>
      <c r="AG980" s="53"/>
      <c r="AR980" s="52"/>
      <c r="AU980" s="52"/>
      <c r="AY980" s="53"/>
    </row>
    <row r="981">
      <c r="AE981" s="51"/>
      <c r="AG981" s="53"/>
      <c r="AR981" s="52"/>
      <c r="AU981" s="52"/>
      <c r="AY981" s="53"/>
    </row>
    <row r="982">
      <c r="AE982" s="51"/>
      <c r="AG982" s="53"/>
      <c r="AR982" s="52"/>
      <c r="AU982" s="52"/>
      <c r="AY982" s="53"/>
    </row>
    <row r="983">
      <c r="AE983" s="51"/>
      <c r="AG983" s="53"/>
      <c r="AR983" s="52"/>
      <c r="AU983" s="52"/>
      <c r="AY983" s="53"/>
    </row>
    <row r="984">
      <c r="AE984" s="51"/>
      <c r="AG984" s="53"/>
      <c r="AR984" s="52"/>
      <c r="AU984" s="52"/>
      <c r="AY984" s="53"/>
    </row>
    <row r="985">
      <c r="AE985" s="51"/>
      <c r="AG985" s="53"/>
      <c r="AR985" s="52"/>
      <c r="AU985" s="52"/>
      <c r="AY985" s="53"/>
    </row>
    <row r="986">
      <c r="AE986" s="51"/>
      <c r="AG986" s="53"/>
      <c r="AR986" s="52"/>
      <c r="AU986" s="52"/>
      <c r="AY986" s="53"/>
    </row>
    <row r="987">
      <c r="AE987" s="51"/>
      <c r="AG987" s="53"/>
      <c r="AR987" s="52"/>
      <c r="AU987" s="52"/>
      <c r="AY987" s="53"/>
    </row>
    <row r="988">
      <c r="AE988" s="51"/>
      <c r="AG988" s="53"/>
      <c r="AR988" s="52"/>
      <c r="AU988" s="52"/>
      <c r="AY988" s="53"/>
    </row>
    <row r="989">
      <c r="AE989" s="51"/>
      <c r="AG989" s="53"/>
      <c r="AR989" s="52"/>
      <c r="AU989" s="52"/>
      <c r="AY989" s="53"/>
    </row>
    <row r="990">
      <c r="AE990" s="51"/>
      <c r="AG990" s="53"/>
      <c r="AR990" s="52"/>
      <c r="AU990" s="52"/>
      <c r="AY990" s="53"/>
    </row>
    <row r="991">
      <c r="AE991" s="51"/>
      <c r="AG991" s="53"/>
      <c r="AR991" s="52"/>
      <c r="AU991" s="52"/>
      <c r="AY991" s="53"/>
    </row>
    <row r="992">
      <c r="AE992" s="51"/>
      <c r="AG992" s="53"/>
      <c r="AR992" s="52"/>
      <c r="AU992" s="52"/>
      <c r="AY992" s="53"/>
    </row>
    <row r="993">
      <c r="AE993" s="51"/>
      <c r="AG993" s="53"/>
      <c r="AR993" s="52"/>
      <c r="AU993" s="52"/>
      <c r="AY993" s="53"/>
    </row>
  </sheetData>
  <mergeCells count="7">
    <mergeCell ref="A2:A25"/>
    <mergeCell ref="AE2:AE91"/>
    <mergeCell ref="AG2:AG124"/>
    <mergeCell ref="A26:A45"/>
    <mergeCell ref="A46:A75"/>
    <mergeCell ref="A81:A89"/>
    <mergeCell ref="A92:A101"/>
  </mergeCells>
  <conditionalFormatting sqref="D1:BC1">
    <cfRule type="expression" dxfId="0" priority="1">
      <formula>AND(ISNUMBER(D1),TRUNC(D1)&lt;TODAY())</formula>
    </cfRule>
  </conditionalFormatting>
  <conditionalFormatting sqref="C1:C993">
    <cfRule type="cellIs" dxfId="1" priority="2" operator="equal">
      <formula>"OM"</formula>
    </cfRule>
  </conditionalFormatting>
  <conditionalFormatting sqref="C1:C108">
    <cfRule type="cellIs" dxfId="2" priority="3" operator="equal">
      <formula>"XT"</formula>
    </cfRule>
  </conditionalFormatting>
  <conditionalFormatting sqref="C1:C993">
    <cfRule type="cellIs" dxfId="3" priority="4" operator="equal">
      <formula>"RN"</formula>
    </cfRule>
  </conditionalFormatting>
  <conditionalFormatting sqref="C1:C993">
    <cfRule type="cellIs" dxfId="3" priority="5" operator="equal">
      <formula>"FT"</formula>
    </cfRule>
  </conditionalFormatting>
  <conditionalFormatting sqref="C1:C993">
    <cfRule type="cellIs" dxfId="4" priority="6" operator="equal">
      <formula>"V"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.25"/>
    <col customWidth="1" min="2" max="2" width="22.75"/>
    <col customWidth="1" min="11" max="11" width="13.75"/>
    <col customWidth="1" min="50" max="55" width="20.88"/>
  </cols>
  <sheetData>
    <row r="1">
      <c r="A1" s="1"/>
      <c r="B1" s="2" t="s">
        <v>0</v>
      </c>
      <c r="C1" s="2" t="s">
        <v>1</v>
      </c>
      <c r="D1" s="3">
        <v>45295.0</v>
      </c>
      <c r="E1" s="4">
        <v>45302.0</v>
      </c>
      <c r="F1" s="3">
        <v>45309.0</v>
      </c>
      <c r="G1" s="3">
        <v>45316.0</v>
      </c>
      <c r="H1" s="4">
        <v>45323.0</v>
      </c>
      <c r="I1" s="3">
        <v>45330.0</v>
      </c>
      <c r="J1" s="3">
        <v>45337.0</v>
      </c>
      <c r="K1" s="4">
        <v>45344.0</v>
      </c>
      <c r="L1" s="3">
        <v>45351.0</v>
      </c>
      <c r="M1" s="3">
        <v>45358.0</v>
      </c>
      <c r="N1" s="4">
        <v>45365.0</v>
      </c>
      <c r="O1" s="3">
        <v>45372.0</v>
      </c>
      <c r="P1" s="3">
        <v>45379.0</v>
      </c>
      <c r="Q1" s="4">
        <v>45386.0</v>
      </c>
      <c r="R1" s="3">
        <v>45393.0</v>
      </c>
      <c r="S1" s="3">
        <v>45400.0</v>
      </c>
      <c r="T1" s="4">
        <v>45407.0</v>
      </c>
      <c r="U1" s="3">
        <v>45414.0</v>
      </c>
      <c r="V1" s="3">
        <v>45421.0</v>
      </c>
      <c r="W1" s="4">
        <v>45428.0</v>
      </c>
      <c r="X1" s="3">
        <v>45435.0</v>
      </c>
      <c r="Y1" s="4">
        <v>45442.0</v>
      </c>
      <c r="Z1" s="3">
        <v>45449.0</v>
      </c>
      <c r="AA1" s="3">
        <v>45456.0</v>
      </c>
      <c r="AB1" s="4">
        <v>45463.0</v>
      </c>
      <c r="AC1" s="3">
        <v>45470.0</v>
      </c>
      <c r="AD1" s="90">
        <v>45477.0</v>
      </c>
      <c r="AE1" s="4">
        <v>45484.0</v>
      </c>
      <c r="AF1" s="90">
        <v>45491.0</v>
      </c>
      <c r="AG1" s="3">
        <v>45498.0</v>
      </c>
      <c r="AH1" s="4">
        <v>45505.0</v>
      </c>
      <c r="AI1" s="3">
        <v>45512.0</v>
      </c>
      <c r="AJ1" s="4">
        <v>45519.0</v>
      </c>
      <c r="AK1" s="3">
        <v>45526.0</v>
      </c>
      <c r="AL1" s="3">
        <v>45533.0</v>
      </c>
      <c r="AM1" s="4">
        <v>45540.0</v>
      </c>
      <c r="AN1" s="3">
        <v>45547.0</v>
      </c>
      <c r="AO1" s="3">
        <v>45554.0</v>
      </c>
      <c r="AP1" s="4">
        <v>45561.0</v>
      </c>
      <c r="AQ1" s="3">
        <v>45568.0</v>
      </c>
      <c r="AR1" s="90">
        <v>45575.0</v>
      </c>
      <c r="AS1" s="4">
        <v>45582.0</v>
      </c>
      <c r="AT1" s="3">
        <v>45589.0</v>
      </c>
      <c r="AU1" s="90">
        <v>45596.0</v>
      </c>
      <c r="AV1" s="4">
        <v>45603.0</v>
      </c>
      <c r="AW1" s="3">
        <v>45610.0</v>
      </c>
      <c r="AX1" s="3">
        <v>45617.0</v>
      </c>
      <c r="AY1" s="6">
        <v>45624.0</v>
      </c>
      <c r="AZ1" s="3">
        <v>45631.0</v>
      </c>
      <c r="BA1" s="3">
        <v>45638.0</v>
      </c>
      <c r="BB1" s="4">
        <v>45645.0</v>
      </c>
      <c r="BC1" s="3">
        <v>45652.0</v>
      </c>
    </row>
    <row r="2">
      <c r="A2" s="91" t="s">
        <v>2</v>
      </c>
      <c r="B2" s="34" t="s">
        <v>114</v>
      </c>
      <c r="C2" s="17" t="s">
        <v>2</v>
      </c>
      <c r="D2" s="16" t="s">
        <v>4</v>
      </c>
      <c r="E2" s="16" t="s">
        <v>4</v>
      </c>
      <c r="F2" s="16" t="s">
        <v>4</v>
      </c>
      <c r="G2" s="16" t="s">
        <v>4</v>
      </c>
      <c r="H2" s="16" t="s">
        <v>4</v>
      </c>
      <c r="I2" s="16" t="s">
        <v>4</v>
      </c>
      <c r="J2" s="16" t="s">
        <v>4</v>
      </c>
      <c r="K2" s="16" t="s">
        <v>4</v>
      </c>
      <c r="L2" s="16" t="s">
        <v>4</v>
      </c>
      <c r="M2" s="16" t="s">
        <v>4</v>
      </c>
      <c r="N2" s="16" t="s">
        <v>4</v>
      </c>
      <c r="O2" s="16" t="s">
        <v>4</v>
      </c>
      <c r="P2" s="16" t="s">
        <v>4</v>
      </c>
      <c r="Q2" s="20"/>
      <c r="R2" s="16" t="s">
        <v>4</v>
      </c>
      <c r="S2" s="16" t="s">
        <v>4</v>
      </c>
      <c r="T2" s="16" t="s">
        <v>4</v>
      </c>
      <c r="U2" s="16" t="s">
        <v>4</v>
      </c>
      <c r="V2" s="16"/>
      <c r="W2" s="16" t="s">
        <v>4</v>
      </c>
      <c r="X2" s="16"/>
      <c r="Y2" s="16"/>
      <c r="Z2" s="16"/>
      <c r="AA2" s="20"/>
      <c r="AB2" s="20"/>
      <c r="AC2" s="16"/>
      <c r="AD2" s="43"/>
      <c r="AE2" s="20"/>
      <c r="AF2" s="43"/>
      <c r="AG2" s="20"/>
      <c r="AH2" s="16"/>
      <c r="AI2" s="20"/>
      <c r="AJ2" s="16"/>
      <c r="AK2" s="16"/>
      <c r="AL2" s="16"/>
      <c r="AM2" s="16"/>
      <c r="AN2" s="16"/>
      <c r="AO2" s="20"/>
      <c r="AP2" s="16"/>
      <c r="AQ2" s="20"/>
      <c r="AR2" s="40"/>
      <c r="AS2" s="16"/>
      <c r="AT2" s="16"/>
      <c r="AU2" s="49" t="s">
        <v>115</v>
      </c>
      <c r="AV2" s="16"/>
      <c r="AW2" s="20"/>
      <c r="AX2" s="16"/>
      <c r="AY2" s="18"/>
      <c r="AZ2" s="16"/>
      <c r="BA2" s="16"/>
      <c r="BB2" s="16"/>
      <c r="BC2" s="16"/>
    </row>
    <row r="3">
      <c r="A3" s="15"/>
      <c r="B3" s="16" t="s">
        <v>3</v>
      </c>
      <c r="C3" s="17" t="s">
        <v>2</v>
      </c>
      <c r="D3" s="16"/>
      <c r="E3" s="16"/>
      <c r="F3" s="16"/>
      <c r="G3" s="16"/>
      <c r="H3" s="16"/>
      <c r="I3" s="16" t="s">
        <v>4</v>
      </c>
      <c r="J3" s="16" t="s">
        <v>4</v>
      </c>
      <c r="K3" s="16" t="s">
        <v>4</v>
      </c>
      <c r="L3" s="16" t="s">
        <v>4</v>
      </c>
      <c r="M3" s="16"/>
      <c r="N3" s="16" t="s">
        <v>4</v>
      </c>
      <c r="O3" s="16" t="s">
        <v>4</v>
      </c>
      <c r="P3" s="20"/>
      <c r="Q3" s="16"/>
      <c r="R3" s="16" t="s">
        <v>4</v>
      </c>
      <c r="S3" s="16"/>
      <c r="T3" s="16"/>
      <c r="U3" s="16" t="s">
        <v>4</v>
      </c>
      <c r="V3" s="16"/>
      <c r="W3" s="16" t="s">
        <v>4</v>
      </c>
      <c r="X3" s="16" t="s">
        <v>4</v>
      </c>
      <c r="Y3" s="16" t="s">
        <v>4</v>
      </c>
      <c r="Z3" s="16" t="s">
        <v>4</v>
      </c>
      <c r="AA3" s="16" t="s">
        <v>4</v>
      </c>
      <c r="AB3" s="16"/>
      <c r="AC3" s="16"/>
      <c r="AD3" s="40"/>
      <c r="AE3" s="16" t="s">
        <v>4</v>
      </c>
      <c r="AF3" s="40"/>
      <c r="AG3" s="16"/>
      <c r="AH3" s="16" t="s">
        <v>4</v>
      </c>
      <c r="AI3" s="16"/>
      <c r="AJ3" s="16" t="s">
        <v>4</v>
      </c>
      <c r="AK3" s="16"/>
      <c r="AL3" s="16"/>
      <c r="AM3" s="16"/>
      <c r="AN3" s="16" t="s">
        <v>4</v>
      </c>
      <c r="AO3" s="16" t="s">
        <v>4</v>
      </c>
      <c r="AP3" s="16"/>
      <c r="AQ3" s="16"/>
      <c r="AR3" s="40"/>
      <c r="AS3" s="16"/>
      <c r="AT3" s="16"/>
      <c r="AV3" s="16"/>
      <c r="AW3" s="85" t="s">
        <v>4</v>
      </c>
      <c r="AX3" s="85" t="s">
        <v>4</v>
      </c>
      <c r="AY3" s="53"/>
    </row>
    <row r="4">
      <c r="A4" s="15"/>
      <c r="B4" s="16" t="s">
        <v>7</v>
      </c>
      <c r="C4" s="17" t="s">
        <v>2</v>
      </c>
      <c r="D4" s="16" t="s">
        <v>4</v>
      </c>
      <c r="E4" s="16"/>
      <c r="F4" s="16" t="s">
        <v>4</v>
      </c>
      <c r="G4" s="16"/>
      <c r="H4" s="16"/>
      <c r="I4" s="16" t="s">
        <v>4</v>
      </c>
      <c r="J4" s="16" t="s">
        <v>4</v>
      </c>
      <c r="K4" s="16" t="s">
        <v>4</v>
      </c>
      <c r="L4" s="16" t="s">
        <v>4</v>
      </c>
      <c r="M4" s="16"/>
      <c r="N4" s="16" t="s">
        <v>4</v>
      </c>
      <c r="O4" s="16" t="s">
        <v>4</v>
      </c>
      <c r="P4" s="16" t="s">
        <v>4</v>
      </c>
      <c r="Q4" s="16"/>
      <c r="R4" s="16" t="s">
        <v>4</v>
      </c>
      <c r="S4" s="16"/>
      <c r="T4" s="16" t="s">
        <v>4</v>
      </c>
      <c r="U4" s="16" t="s">
        <v>4</v>
      </c>
      <c r="V4" s="16" t="s">
        <v>4</v>
      </c>
      <c r="W4" s="16" t="s">
        <v>4</v>
      </c>
      <c r="X4" s="16" t="s">
        <v>4</v>
      </c>
      <c r="Y4" s="16" t="s">
        <v>4</v>
      </c>
      <c r="Z4" s="16" t="s">
        <v>4</v>
      </c>
      <c r="AA4" s="16" t="s">
        <v>4</v>
      </c>
      <c r="AB4" s="16" t="s">
        <v>4</v>
      </c>
      <c r="AC4" s="16" t="s">
        <v>4</v>
      </c>
      <c r="AD4" s="40"/>
      <c r="AE4" s="16" t="s">
        <v>4</v>
      </c>
      <c r="AF4" s="40"/>
      <c r="AG4" s="16" t="s">
        <v>4</v>
      </c>
      <c r="AH4" s="16" t="s">
        <v>4</v>
      </c>
      <c r="AI4" s="16" t="s">
        <v>4</v>
      </c>
      <c r="AJ4" s="16" t="s">
        <v>4</v>
      </c>
      <c r="AK4" s="16" t="s">
        <v>4</v>
      </c>
      <c r="AL4" s="16"/>
      <c r="AM4" s="16" t="s">
        <v>4</v>
      </c>
      <c r="AN4" s="16" t="s">
        <v>4</v>
      </c>
      <c r="AO4" s="16" t="s">
        <v>4</v>
      </c>
      <c r="AP4" s="16"/>
      <c r="AQ4" s="16"/>
      <c r="AR4" s="40"/>
      <c r="AS4" s="16" t="s">
        <v>4</v>
      </c>
      <c r="AT4" s="16" t="s">
        <v>4</v>
      </c>
      <c r="AV4" s="16" t="s">
        <v>4</v>
      </c>
      <c r="AW4" s="16" t="s">
        <v>4</v>
      </c>
      <c r="AX4" s="16" t="s">
        <v>4</v>
      </c>
      <c r="AY4" s="18"/>
      <c r="AZ4" s="16" t="s">
        <v>4</v>
      </c>
      <c r="BA4" s="16" t="s">
        <v>4</v>
      </c>
      <c r="BB4" s="16" t="s">
        <v>4</v>
      </c>
      <c r="BC4" s="16" t="s">
        <v>4</v>
      </c>
    </row>
    <row r="5">
      <c r="A5" s="15"/>
      <c r="B5" s="16" t="s">
        <v>8</v>
      </c>
      <c r="C5" s="17" t="s">
        <v>2</v>
      </c>
      <c r="D5" s="16" t="s">
        <v>4</v>
      </c>
      <c r="E5" s="16" t="s">
        <v>4</v>
      </c>
      <c r="F5" s="16"/>
      <c r="G5" s="16"/>
      <c r="H5" s="16" t="s">
        <v>4</v>
      </c>
      <c r="I5" s="16" t="s">
        <v>4</v>
      </c>
      <c r="J5" s="16" t="s">
        <v>4</v>
      </c>
      <c r="K5" s="16" t="s">
        <v>4</v>
      </c>
      <c r="L5" s="16" t="s">
        <v>4</v>
      </c>
      <c r="M5" s="16" t="s">
        <v>4</v>
      </c>
      <c r="N5" s="16" t="s">
        <v>4</v>
      </c>
      <c r="O5" s="16"/>
      <c r="P5" s="16" t="s">
        <v>4</v>
      </c>
      <c r="Q5" s="16" t="s">
        <v>4</v>
      </c>
      <c r="R5" s="16" t="s">
        <v>4</v>
      </c>
      <c r="S5" s="16"/>
      <c r="T5" s="16" t="s">
        <v>4</v>
      </c>
      <c r="U5" s="16" t="s">
        <v>4</v>
      </c>
      <c r="V5" s="16" t="s">
        <v>4</v>
      </c>
      <c r="W5" s="16" t="s">
        <v>4</v>
      </c>
      <c r="X5" s="16" t="s">
        <v>4</v>
      </c>
      <c r="Y5" s="16" t="s">
        <v>4</v>
      </c>
      <c r="Z5" s="16" t="s">
        <v>4</v>
      </c>
      <c r="AA5" s="16"/>
      <c r="AB5" s="16" t="s">
        <v>4</v>
      </c>
      <c r="AC5" s="16"/>
      <c r="AD5" s="40"/>
      <c r="AE5" s="16" t="s">
        <v>4</v>
      </c>
      <c r="AF5" s="40"/>
      <c r="AG5" s="16" t="s">
        <v>4</v>
      </c>
      <c r="AH5" s="16"/>
      <c r="AI5" s="16"/>
      <c r="AJ5" s="16" t="s">
        <v>4</v>
      </c>
      <c r="AK5" s="16" t="s">
        <v>4</v>
      </c>
      <c r="AL5" s="16" t="s">
        <v>4</v>
      </c>
      <c r="AM5" s="16" t="s">
        <v>4</v>
      </c>
      <c r="AN5" s="16" t="s">
        <v>4</v>
      </c>
      <c r="AO5" s="16" t="s">
        <v>4</v>
      </c>
      <c r="AP5" s="16" t="s">
        <v>4</v>
      </c>
      <c r="AQ5" s="16" t="s">
        <v>4</v>
      </c>
      <c r="AR5" s="40"/>
      <c r="AS5" s="16" t="s">
        <v>4</v>
      </c>
      <c r="AT5" s="16" t="s">
        <v>4</v>
      </c>
      <c r="AV5" s="16"/>
      <c r="AW5" s="16" t="s">
        <v>4</v>
      </c>
      <c r="AX5" s="16" t="s">
        <v>4</v>
      </c>
      <c r="AY5" s="18"/>
      <c r="AZ5" s="16"/>
      <c r="BA5" s="16"/>
      <c r="BB5" s="16"/>
      <c r="BC5" s="16"/>
    </row>
    <row r="6">
      <c r="A6" s="15"/>
      <c r="B6" s="20" t="s">
        <v>116</v>
      </c>
      <c r="C6" s="17" t="s">
        <v>2</v>
      </c>
      <c r="D6" s="16" t="s">
        <v>4</v>
      </c>
      <c r="E6" s="16" t="s">
        <v>4</v>
      </c>
      <c r="F6" s="16"/>
      <c r="G6" s="16"/>
      <c r="H6" s="16"/>
      <c r="I6" s="16" t="s">
        <v>4</v>
      </c>
      <c r="J6" s="16"/>
      <c r="K6" s="16"/>
      <c r="L6" s="16" t="s">
        <v>4</v>
      </c>
      <c r="M6" s="16"/>
      <c r="N6" s="16"/>
      <c r="O6" s="16"/>
      <c r="P6" s="16" t="s">
        <v>4</v>
      </c>
      <c r="Q6" s="16" t="s">
        <v>4</v>
      </c>
      <c r="R6" s="16" t="s">
        <v>4</v>
      </c>
      <c r="S6" s="16" t="s">
        <v>4</v>
      </c>
      <c r="T6" s="16"/>
      <c r="U6" s="16"/>
      <c r="V6" s="16" t="s">
        <v>4</v>
      </c>
      <c r="W6" s="16" t="s">
        <v>4</v>
      </c>
      <c r="X6" s="16" t="s">
        <v>4</v>
      </c>
      <c r="Y6" s="16" t="s">
        <v>4</v>
      </c>
      <c r="Z6" s="16" t="s">
        <v>4</v>
      </c>
      <c r="AA6" s="16"/>
      <c r="AB6" s="16"/>
      <c r="AC6" s="16" t="s">
        <v>4</v>
      </c>
      <c r="AD6" s="43"/>
      <c r="AE6" s="16" t="s">
        <v>4</v>
      </c>
      <c r="AF6" s="40"/>
      <c r="AG6" s="16" t="s">
        <v>4</v>
      </c>
      <c r="AH6" s="16" t="s">
        <v>4</v>
      </c>
      <c r="AI6" s="16" t="s">
        <v>4</v>
      </c>
      <c r="AJ6" s="16" t="s">
        <v>4</v>
      </c>
      <c r="AK6" s="16" t="s">
        <v>4</v>
      </c>
      <c r="AL6" s="16" t="s">
        <v>4</v>
      </c>
      <c r="AM6" s="16" t="s">
        <v>4</v>
      </c>
      <c r="AN6" s="16"/>
      <c r="AO6" s="16"/>
      <c r="AP6" s="16"/>
      <c r="AQ6" s="16"/>
      <c r="AR6" s="40"/>
      <c r="AS6" s="16"/>
      <c r="AT6" s="16"/>
      <c r="AV6" s="16" t="s">
        <v>4</v>
      </c>
      <c r="AW6" s="16" t="s">
        <v>4</v>
      </c>
      <c r="AX6" s="16" t="s">
        <v>4</v>
      </c>
      <c r="AY6" s="18"/>
      <c r="AZ6" s="16" t="s">
        <v>4</v>
      </c>
      <c r="BA6" s="16" t="s">
        <v>4</v>
      </c>
      <c r="BB6" s="16" t="s">
        <v>4</v>
      </c>
      <c r="BC6" s="16" t="s">
        <v>4</v>
      </c>
    </row>
    <row r="7">
      <c r="A7" s="15"/>
      <c r="B7" s="16" t="s">
        <v>10</v>
      </c>
      <c r="C7" s="17" t="s">
        <v>2</v>
      </c>
      <c r="D7" s="16" t="s">
        <v>4</v>
      </c>
      <c r="E7" s="16" t="s">
        <v>4</v>
      </c>
      <c r="F7" s="16"/>
      <c r="G7" s="16"/>
      <c r="H7" s="16"/>
      <c r="I7" s="16" t="s">
        <v>4</v>
      </c>
      <c r="J7" s="16" t="s">
        <v>4</v>
      </c>
      <c r="K7" s="16" t="s">
        <v>4</v>
      </c>
      <c r="L7" s="16" t="s">
        <v>4</v>
      </c>
      <c r="M7" s="16" t="s">
        <v>4</v>
      </c>
      <c r="N7" s="16"/>
      <c r="O7" s="16"/>
      <c r="P7" s="16" t="s">
        <v>4</v>
      </c>
      <c r="Q7" s="16" t="s">
        <v>4</v>
      </c>
      <c r="R7" s="16" t="s">
        <v>4</v>
      </c>
      <c r="S7" s="16" t="s">
        <v>4</v>
      </c>
      <c r="T7" s="16" t="s">
        <v>4</v>
      </c>
      <c r="U7" s="16" t="s">
        <v>4</v>
      </c>
      <c r="V7" s="16" t="s">
        <v>4</v>
      </c>
      <c r="W7" s="16" t="s">
        <v>4</v>
      </c>
      <c r="X7" s="16" t="s">
        <v>4</v>
      </c>
      <c r="Y7" s="16" t="s">
        <v>4</v>
      </c>
      <c r="Z7" s="16" t="s">
        <v>4</v>
      </c>
      <c r="AA7" s="16"/>
      <c r="AB7" s="16"/>
      <c r="AC7" s="16" t="s">
        <v>4</v>
      </c>
      <c r="AD7" s="40"/>
      <c r="AE7" s="16" t="s">
        <v>4</v>
      </c>
      <c r="AF7" s="40"/>
      <c r="AG7" s="16" t="s">
        <v>4</v>
      </c>
      <c r="AH7" s="16" t="s">
        <v>4</v>
      </c>
      <c r="AI7" s="16" t="s">
        <v>4</v>
      </c>
      <c r="AJ7" s="16" t="s">
        <v>4</v>
      </c>
      <c r="AK7" s="16" t="s">
        <v>4</v>
      </c>
      <c r="AL7" s="16" t="s">
        <v>4</v>
      </c>
      <c r="AM7" s="16" t="s">
        <v>4</v>
      </c>
      <c r="AN7" s="16"/>
      <c r="AO7" s="16"/>
      <c r="AP7" s="16"/>
      <c r="AQ7" s="16"/>
      <c r="AR7" s="40"/>
      <c r="AS7" s="16"/>
      <c r="AT7" s="16" t="s">
        <v>4</v>
      </c>
      <c r="AV7" s="16" t="s">
        <v>4</v>
      </c>
      <c r="AW7" s="16" t="s">
        <v>4</v>
      </c>
      <c r="AX7" s="16" t="s">
        <v>4</v>
      </c>
      <c r="AY7" s="18"/>
      <c r="AZ7" s="16" t="s">
        <v>4</v>
      </c>
      <c r="BA7" s="16" t="s">
        <v>4</v>
      </c>
      <c r="BB7" s="16" t="s">
        <v>4</v>
      </c>
      <c r="BC7" s="16" t="s">
        <v>4</v>
      </c>
    </row>
    <row r="8">
      <c r="A8" s="15"/>
      <c r="B8" s="16" t="s">
        <v>11</v>
      </c>
      <c r="C8" s="17" t="s">
        <v>2</v>
      </c>
      <c r="D8" s="16" t="s">
        <v>4</v>
      </c>
      <c r="E8" s="16" t="s">
        <v>4</v>
      </c>
      <c r="F8" s="16" t="s">
        <v>4</v>
      </c>
      <c r="G8" s="16" t="s">
        <v>4</v>
      </c>
      <c r="H8" s="16"/>
      <c r="I8" s="16" t="s">
        <v>4</v>
      </c>
      <c r="J8" s="16" t="s">
        <v>4</v>
      </c>
      <c r="K8" s="16" t="s">
        <v>4</v>
      </c>
      <c r="L8" s="16" t="s">
        <v>4</v>
      </c>
      <c r="M8" s="16"/>
      <c r="N8" s="16" t="s">
        <v>4</v>
      </c>
      <c r="O8" s="16"/>
      <c r="P8" s="16" t="s">
        <v>4</v>
      </c>
      <c r="Q8" s="16" t="s">
        <v>4</v>
      </c>
      <c r="R8" s="16" t="s">
        <v>4</v>
      </c>
      <c r="S8" s="16" t="s">
        <v>4</v>
      </c>
      <c r="T8" s="16"/>
      <c r="U8" s="16"/>
      <c r="V8" s="16" t="s">
        <v>4</v>
      </c>
      <c r="W8" s="16" t="s">
        <v>4</v>
      </c>
      <c r="X8" s="16"/>
      <c r="Y8" s="16"/>
      <c r="Z8" s="16"/>
      <c r="AA8" s="16" t="s">
        <v>4</v>
      </c>
      <c r="AB8" s="16" t="s">
        <v>4</v>
      </c>
      <c r="AC8" s="16" t="s">
        <v>4</v>
      </c>
      <c r="AD8" s="40"/>
      <c r="AE8" s="16" t="s">
        <v>4</v>
      </c>
      <c r="AF8" s="40"/>
      <c r="AG8" s="16" t="s">
        <v>4</v>
      </c>
      <c r="AH8" s="16"/>
      <c r="AI8" s="16"/>
      <c r="AJ8" s="16" t="s">
        <v>4</v>
      </c>
      <c r="AK8" s="16" t="s">
        <v>4</v>
      </c>
      <c r="AL8" s="16" t="s">
        <v>4</v>
      </c>
      <c r="AM8" s="16" t="s">
        <v>4</v>
      </c>
      <c r="AN8" s="16"/>
      <c r="AO8" s="16"/>
      <c r="AP8" s="16" t="s">
        <v>4</v>
      </c>
      <c r="AQ8" s="16"/>
      <c r="AR8" s="40"/>
      <c r="AS8" s="16"/>
      <c r="AT8" s="16" t="s">
        <v>4</v>
      </c>
      <c r="AV8" s="16" t="s">
        <v>4</v>
      </c>
      <c r="AW8" s="16" t="s">
        <v>4</v>
      </c>
      <c r="AX8" s="16" t="s">
        <v>4</v>
      </c>
      <c r="AY8" s="18"/>
      <c r="AZ8" s="16" t="s">
        <v>4</v>
      </c>
      <c r="BA8" s="16" t="s">
        <v>4</v>
      </c>
      <c r="BB8" s="16" t="s">
        <v>4</v>
      </c>
      <c r="BC8" s="16" t="s">
        <v>4</v>
      </c>
    </row>
    <row r="9">
      <c r="A9" s="15"/>
      <c r="B9" s="16" t="s">
        <v>12</v>
      </c>
      <c r="C9" s="17" t="s">
        <v>2</v>
      </c>
      <c r="D9" s="16" t="s">
        <v>4</v>
      </c>
      <c r="E9" s="16" t="s">
        <v>4</v>
      </c>
      <c r="F9" s="16" t="s">
        <v>4</v>
      </c>
      <c r="G9" s="16" t="s">
        <v>4</v>
      </c>
      <c r="H9" s="16"/>
      <c r="I9" s="16" t="s">
        <v>4</v>
      </c>
      <c r="J9" s="16" t="s">
        <v>4</v>
      </c>
      <c r="K9" s="16" t="s">
        <v>4</v>
      </c>
      <c r="L9" s="16" t="s">
        <v>4</v>
      </c>
      <c r="M9" s="16"/>
      <c r="N9" s="16"/>
      <c r="O9" s="16"/>
      <c r="P9" s="16" t="s">
        <v>4</v>
      </c>
      <c r="Q9" s="16" t="s">
        <v>4</v>
      </c>
      <c r="R9" s="16" t="s">
        <v>4</v>
      </c>
      <c r="S9" s="16" t="s">
        <v>4</v>
      </c>
      <c r="T9" s="16" t="s">
        <v>4</v>
      </c>
      <c r="U9" s="16" t="s">
        <v>4</v>
      </c>
      <c r="V9" s="16" t="s">
        <v>4</v>
      </c>
      <c r="W9" s="16" t="s">
        <v>4</v>
      </c>
      <c r="X9" s="16" t="s">
        <v>4</v>
      </c>
      <c r="Y9" s="16"/>
      <c r="Z9" s="16"/>
      <c r="AA9" s="16"/>
      <c r="AB9" s="16" t="s">
        <v>4</v>
      </c>
      <c r="AC9" s="16" t="s">
        <v>4</v>
      </c>
      <c r="AD9" s="40"/>
      <c r="AE9" s="16" t="s">
        <v>4</v>
      </c>
      <c r="AF9" s="40"/>
      <c r="AG9" s="16" t="s">
        <v>4</v>
      </c>
      <c r="AH9" s="16" t="s">
        <v>4</v>
      </c>
      <c r="AI9" s="16"/>
      <c r="AJ9" s="16"/>
      <c r="AK9" s="16" t="s">
        <v>4</v>
      </c>
      <c r="AL9" s="16" t="s">
        <v>4</v>
      </c>
      <c r="AM9" s="16" t="s">
        <v>4</v>
      </c>
      <c r="AN9" s="16"/>
      <c r="AO9" s="16" t="s">
        <v>4</v>
      </c>
      <c r="AP9" s="16"/>
      <c r="AQ9" s="16"/>
      <c r="AR9" s="40"/>
      <c r="AS9" s="16"/>
      <c r="AT9" s="16" t="s">
        <v>4</v>
      </c>
      <c r="AV9" s="16" t="s">
        <v>4</v>
      </c>
      <c r="AW9" s="16" t="s">
        <v>4</v>
      </c>
      <c r="AX9" s="16" t="s">
        <v>4</v>
      </c>
      <c r="AY9" s="18"/>
      <c r="AZ9" s="16" t="s">
        <v>4</v>
      </c>
      <c r="BA9" s="16" t="s">
        <v>4</v>
      </c>
      <c r="BB9" s="16" t="s">
        <v>4</v>
      </c>
      <c r="BC9" s="16" t="s">
        <v>4</v>
      </c>
    </row>
    <row r="10">
      <c r="A10" s="15"/>
      <c r="B10" s="19" t="s">
        <v>13</v>
      </c>
      <c r="C10" s="17" t="s">
        <v>2</v>
      </c>
      <c r="D10" s="16" t="s">
        <v>4</v>
      </c>
      <c r="E10" s="16" t="s">
        <v>4</v>
      </c>
      <c r="F10" s="16" t="s">
        <v>4</v>
      </c>
      <c r="G10" s="16" t="s">
        <v>4</v>
      </c>
      <c r="H10" s="16" t="s">
        <v>4</v>
      </c>
      <c r="I10" s="16" t="s">
        <v>4</v>
      </c>
      <c r="J10" s="16" t="s">
        <v>4</v>
      </c>
      <c r="K10" s="16" t="s">
        <v>4</v>
      </c>
      <c r="L10" s="16" t="s">
        <v>4</v>
      </c>
      <c r="M10" s="16" t="s">
        <v>4</v>
      </c>
      <c r="N10" s="16" t="s">
        <v>4</v>
      </c>
      <c r="O10" s="16" t="s">
        <v>4</v>
      </c>
      <c r="P10" s="16" t="s">
        <v>4</v>
      </c>
      <c r="Q10" s="16" t="s">
        <v>4</v>
      </c>
      <c r="R10" s="16" t="s">
        <v>4</v>
      </c>
      <c r="S10" s="16" t="s">
        <v>4</v>
      </c>
      <c r="T10" s="16" t="s">
        <v>4</v>
      </c>
      <c r="U10" s="16" t="s">
        <v>4</v>
      </c>
      <c r="V10" s="16"/>
      <c r="W10" s="16" t="s">
        <v>4</v>
      </c>
      <c r="X10" s="16" t="s">
        <v>4</v>
      </c>
      <c r="Y10" s="16" t="s">
        <v>4</v>
      </c>
      <c r="Z10" s="16" t="s">
        <v>4</v>
      </c>
      <c r="AA10" s="16"/>
      <c r="AB10" s="16" t="s">
        <v>4</v>
      </c>
      <c r="AC10" s="16" t="s">
        <v>4</v>
      </c>
      <c r="AD10" s="40"/>
      <c r="AE10" s="16" t="s">
        <v>4</v>
      </c>
      <c r="AF10" s="40"/>
      <c r="AG10" s="16" t="s">
        <v>4</v>
      </c>
      <c r="AH10" s="16"/>
      <c r="AI10" s="16" t="s">
        <v>4</v>
      </c>
      <c r="AJ10" s="16" t="s">
        <v>4</v>
      </c>
      <c r="AK10" s="16" t="s">
        <v>4</v>
      </c>
      <c r="AL10" s="16" t="s">
        <v>4</v>
      </c>
      <c r="AM10" s="16" t="s">
        <v>4</v>
      </c>
      <c r="AN10" s="16" t="s">
        <v>4</v>
      </c>
      <c r="AO10" s="16"/>
      <c r="AP10" s="16" t="s">
        <v>4</v>
      </c>
      <c r="AQ10" s="16" t="s">
        <v>4</v>
      </c>
      <c r="AR10" s="40"/>
      <c r="AS10" s="16" t="s">
        <v>4</v>
      </c>
      <c r="AT10" s="16" t="s">
        <v>4</v>
      </c>
      <c r="AV10" s="16" t="s">
        <v>4</v>
      </c>
      <c r="AW10" s="16" t="s">
        <v>4</v>
      </c>
      <c r="AX10" s="16" t="s">
        <v>4</v>
      </c>
      <c r="AY10" s="18"/>
      <c r="AZ10" s="16" t="s">
        <v>4</v>
      </c>
      <c r="BA10" s="16" t="s">
        <v>4</v>
      </c>
      <c r="BB10" s="16" t="s">
        <v>4</v>
      </c>
      <c r="BC10" s="16" t="s">
        <v>4</v>
      </c>
    </row>
    <row r="11">
      <c r="A11" s="15"/>
      <c r="B11" s="19" t="s">
        <v>14</v>
      </c>
      <c r="C11" s="17" t="s">
        <v>2</v>
      </c>
      <c r="D11" s="16" t="s">
        <v>4</v>
      </c>
      <c r="E11" s="16" t="s">
        <v>4</v>
      </c>
      <c r="F11" s="16" t="s">
        <v>4</v>
      </c>
      <c r="G11" s="16" t="s">
        <v>4</v>
      </c>
      <c r="H11" s="16" t="s">
        <v>4</v>
      </c>
      <c r="I11" s="16"/>
      <c r="J11" s="16" t="s">
        <v>4</v>
      </c>
      <c r="K11" s="16" t="s">
        <v>4</v>
      </c>
      <c r="L11" s="16" t="s">
        <v>4</v>
      </c>
      <c r="M11" s="16"/>
      <c r="N11" s="16" t="s">
        <v>4</v>
      </c>
      <c r="O11" s="16" t="s">
        <v>4</v>
      </c>
      <c r="P11" s="16" t="s">
        <v>4</v>
      </c>
      <c r="Q11" s="16" t="s">
        <v>4</v>
      </c>
      <c r="R11" s="16"/>
      <c r="S11" s="16" t="s">
        <v>4</v>
      </c>
      <c r="T11" s="16" t="s">
        <v>4</v>
      </c>
      <c r="U11" s="16" t="s">
        <v>4</v>
      </c>
      <c r="V11" s="16"/>
      <c r="W11" s="16" t="s">
        <v>4</v>
      </c>
      <c r="X11" s="16" t="s">
        <v>4</v>
      </c>
      <c r="Y11" s="16"/>
      <c r="Z11" s="16"/>
      <c r="AA11" s="16" t="s">
        <v>4</v>
      </c>
      <c r="AB11" s="16" t="s">
        <v>4</v>
      </c>
      <c r="AC11" s="16" t="s">
        <v>4</v>
      </c>
      <c r="AD11" s="40"/>
      <c r="AE11" s="16" t="s">
        <v>4</v>
      </c>
      <c r="AF11" s="40"/>
      <c r="AG11" s="16" t="s">
        <v>4</v>
      </c>
      <c r="AH11" s="16"/>
      <c r="AI11" s="16" t="s">
        <v>4</v>
      </c>
      <c r="AJ11" s="16" t="s">
        <v>4</v>
      </c>
      <c r="AK11" s="16" t="s">
        <v>4</v>
      </c>
      <c r="AL11" s="16" t="s">
        <v>4</v>
      </c>
      <c r="AM11" s="16" t="s">
        <v>4</v>
      </c>
      <c r="AN11" s="16" t="s">
        <v>4</v>
      </c>
      <c r="AO11" s="16" t="s">
        <v>4</v>
      </c>
      <c r="AP11" s="16" t="s">
        <v>4</v>
      </c>
      <c r="AQ11" s="16" t="s">
        <v>4</v>
      </c>
      <c r="AR11" s="40"/>
      <c r="AS11" s="16" t="s">
        <v>4</v>
      </c>
      <c r="AT11" s="16" t="s">
        <v>4</v>
      </c>
      <c r="AV11" s="16" t="s">
        <v>4</v>
      </c>
      <c r="AW11" s="16" t="s">
        <v>4</v>
      </c>
      <c r="AX11" s="16" t="s">
        <v>4</v>
      </c>
      <c r="AY11" s="18"/>
      <c r="AZ11" s="16"/>
      <c r="BA11" s="16"/>
      <c r="BB11" s="16"/>
      <c r="BC11" s="16"/>
    </row>
    <row r="12">
      <c r="A12" s="15"/>
      <c r="B12" s="19" t="s">
        <v>15</v>
      </c>
      <c r="C12" s="17" t="s">
        <v>2</v>
      </c>
      <c r="D12" s="16"/>
      <c r="E12" s="16" t="s">
        <v>4</v>
      </c>
      <c r="F12" s="16"/>
      <c r="G12" s="16"/>
      <c r="H12" s="16"/>
      <c r="I12" s="16"/>
      <c r="J12" s="16"/>
      <c r="K12" s="16" t="s">
        <v>4</v>
      </c>
      <c r="L12" s="16"/>
      <c r="M12" s="16"/>
      <c r="N12" s="16"/>
      <c r="O12" s="16" t="s">
        <v>4</v>
      </c>
      <c r="P12" s="16"/>
      <c r="Q12" s="16"/>
      <c r="R12" s="16"/>
      <c r="S12" s="16"/>
      <c r="T12" s="16" t="s">
        <v>4</v>
      </c>
      <c r="U12" s="16"/>
      <c r="V12" s="16" t="s">
        <v>4</v>
      </c>
      <c r="W12" s="16"/>
      <c r="X12" s="16" t="s">
        <v>4</v>
      </c>
      <c r="Y12" s="16"/>
      <c r="Z12" s="20"/>
      <c r="AA12" s="16"/>
      <c r="AB12" s="16"/>
      <c r="AC12" s="16"/>
      <c r="AD12" s="40"/>
      <c r="AE12" s="16"/>
      <c r="AF12" s="40"/>
      <c r="AG12" s="16"/>
      <c r="AH12" s="16" t="s">
        <v>4</v>
      </c>
      <c r="AI12" s="16"/>
      <c r="AJ12" s="16"/>
      <c r="AK12" s="16" t="s">
        <v>4</v>
      </c>
      <c r="AL12" s="16"/>
      <c r="AM12" s="16"/>
      <c r="AN12" s="16"/>
      <c r="AO12" s="16"/>
      <c r="AP12" s="16"/>
      <c r="AQ12" s="16"/>
      <c r="AR12" s="40"/>
      <c r="AS12" s="16"/>
      <c r="AT12" s="16"/>
      <c r="AV12" s="16"/>
      <c r="AW12" s="16" t="s">
        <v>4</v>
      </c>
      <c r="AX12" s="16" t="s">
        <v>4</v>
      </c>
      <c r="AY12" s="18"/>
      <c r="AZ12" s="16"/>
      <c r="BA12" s="16"/>
      <c r="BB12" s="16"/>
      <c r="BC12" s="16"/>
    </row>
    <row r="13">
      <c r="A13" s="15"/>
      <c r="B13" s="19" t="s">
        <v>16</v>
      </c>
      <c r="C13" s="17" t="s">
        <v>2</v>
      </c>
      <c r="D13" s="16" t="s">
        <v>4</v>
      </c>
      <c r="E13" s="16"/>
      <c r="F13" s="16" t="s">
        <v>4</v>
      </c>
      <c r="G13" s="16"/>
      <c r="H13" s="16"/>
      <c r="I13" s="16"/>
      <c r="J13" s="16" t="s">
        <v>4</v>
      </c>
      <c r="K13" s="16"/>
      <c r="L13" s="16"/>
      <c r="M13" s="16"/>
      <c r="N13" s="16"/>
      <c r="O13" s="20"/>
      <c r="P13" s="16" t="s">
        <v>4</v>
      </c>
      <c r="Q13" s="16"/>
      <c r="R13" s="16"/>
      <c r="S13" s="16" t="s">
        <v>4</v>
      </c>
      <c r="T13" s="16"/>
      <c r="U13" s="16" t="s">
        <v>4</v>
      </c>
      <c r="V13" s="16"/>
      <c r="W13" s="16"/>
      <c r="X13" s="16"/>
      <c r="Y13" s="16"/>
      <c r="Z13" s="16"/>
      <c r="AA13" s="16"/>
      <c r="AB13" s="16"/>
      <c r="AC13" s="16"/>
      <c r="AD13" s="40"/>
      <c r="AE13" s="16"/>
      <c r="AF13" s="40"/>
      <c r="AG13" s="16" t="s">
        <v>4</v>
      </c>
      <c r="AH13" s="16"/>
      <c r="AI13" s="16" t="s">
        <v>4</v>
      </c>
      <c r="AJ13" s="16" t="s">
        <v>4</v>
      </c>
      <c r="AK13" s="16"/>
      <c r="AL13" s="16"/>
      <c r="AM13" s="16"/>
      <c r="AN13" s="16" t="s">
        <v>4</v>
      </c>
      <c r="AO13" s="16"/>
      <c r="AP13" s="16" t="s">
        <v>4</v>
      </c>
      <c r="AQ13" s="16"/>
      <c r="AR13" s="40"/>
      <c r="AS13" s="16"/>
      <c r="AT13" s="16"/>
      <c r="AV13" s="16"/>
      <c r="AW13" s="16"/>
      <c r="AX13" s="16"/>
      <c r="AY13" s="18"/>
      <c r="AZ13" s="16"/>
      <c r="BA13" s="16"/>
      <c r="BB13" s="16"/>
      <c r="BC13" s="16"/>
    </row>
    <row r="14">
      <c r="A14" s="15"/>
      <c r="B14" s="19" t="s">
        <v>17</v>
      </c>
      <c r="C14" s="17" t="s">
        <v>2</v>
      </c>
      <c r="D14" s="16"/>
      <c r="E14" s="16" t="s">
        <v>4</v>
      </c>
      <c r="F14" s="16" t="s">
        <v>4</v>
      </c>
      <c r="G14" s="16" t="s">
        <v>4</v>
      </c>
      <c r="H14" s="16"/>
      <c r="I14" s="16"/>
      <c r="J14" s="16"/>
      <c r="K14" s="16" t="s">
        <v>4</v>
      </c>
      <c r="L14" s="16" t="s">
        <v>4</v>
      </c>
      <c r="M14" s="16" t="s">
        <v>4</v>
      </c>
      <c r="N14" s="16" t="s">
        <v>4</v>
      </c>
      <c r="O14" s="16" t="s">
        <v>4</v>
      </c>
      <c r="P14" s="16"/>
      <c r="Q14" s="16"/>
      <c r="R14" s="16" t="s">
        <v>4</v>
      </c>
      <c r="S14" s="16" t="s">
        <v>4</v>
      </c>
      <c r="T14" s="16" t="s">
        <v>4</v>
      </c>
      <c r="U14" s="16"/>
      <c r="V14" s="16"/>
      <c r="W14" s="16"/>
      <c r="X14" s="16"/>
      <c r="Y14" s="16"/>
      <c r="Z14" s="16"/>
      <c r="AA14" s="20"/>
      <c r="AB14" s="16" t="s">
        <v>4</v>
      </c>
      <c r="AC14" s="16" t="s">
        <v>4</v>
      </c>
      <c r="AD14" s="40"/>
      <c r="AE14" s="16" t="s">
        <v>4</v>
      </c>
      <c r="AF14" s="40"/>
      <c r="AG14" s="16"/>
      <c r="AH14" s="16"/>
      <c r="AI14" s="16"/>
      <c r="AJ14" s="16"/>
      <c r="AK14" s="16" t="s">
        <v>4</v>
      </c>
      <c r="AL14" s="16" t="s">
        <v>4</v>
      </c>
      <c r="AM14" s="16"/>
      <c r="AN14" s="16" t="s">
        <v>4</v>
      </c>
      <c r="AO14" s="16"/>
      <c r="AP14" s="16"/>
      <c r="AQ14" s="16" t="s">
        <v>4</v>
      </c>
      <c r="AR14" s="40"/>
      <c r="AS14" s="16"/>
      <c r="AT14" s="16" t="s">
        <v>4</v>
      </c>
      <c r="AV14" s="16"/>
      <c r="AW14" s="16" t="s">
        <v>4</v>
      </c>
      <c r="AX14" s="16" t="s">
        <v>4</v>
      </c>
      <c r="AY14" s="18"/>
      <c r="AZ14" s="16"/>
      <c r="BA14" s="16"/>
      <c r="BB14" s="16"/>
      <c r="BC14" s="16"/>
    </row>
    <row r="15">
      <c r="A15" s="15"/>
      <c r="B15" s="19" t="s">
        <v>18</v>
      </c>
      <c r="C15" s="17" t="s">
        <v>2</v>
      </c>
      <c r="D15" s="16"/>
      <c r="E15" s="16" t="s">
        <v>4</v>
      </c>
      <c r="F15" s="16" t="s">
        <v>4</v>
      </c>
      <c r="G15" s="16" t="s">
        <v>4</v>
      </c>
      <c r="H15" s="16"/>
      <c r="I15" s="16"/>
      <c r="J15" s="16"/>
      <c r="K15" s="16" t="s">
        <v>4</v>
      </c>
      <c r="L15" s="16" t="s">
        <v>4</v>
      </c>
      <c r="M15" s="16" t="s">
        <v>4</v>
      </c>
      <c r="N15" s="16" t="s">
        <v>4</v>
      </c>
      <c r="O15" s="16" t="s">
        <v>4</v>
      </c>
      <c r="P15" s="16"/>
      <c r="Q15" s="16" t="s">
        <v>4</v>
      </c>
      <c r="R15" s="16" t="s">
        <v>4</v>
      </c>
      <c r="S15" s="16" t="s">
        <v>4</v>
      </c>
      <c r="T15" s="16" t="s">
        <v>4</v>
      </c>
      <c r="U15" s="16"/>
      <c r="V15" s="16"/>
      <c r="W15" s="16"/>
      <c r="X15" s="16" t="s">
        <v>4</v>
      </c>
      <c r="Y15" s="16"/>
      <c r="Z15" s="16"/>
      <c r="AA15" s="20"/>
      <c r="AB15" s="16" t="s">
        <v>4</v>
      </c>
      <c r="AC15" s="16" t="s">
        <v>4</v>
      </c>
      <c r="AD15" s="40"/>
      <c r="AE15" s="16" t="s">
        <v>4</v>
      </c>
      <c r="AF15" s="40"/>
      <c r="AG15" s="16" t="s">
        <v>4</v>
      </c>
      <c r="AH15" s="16"/>
      <c r="AI15" s="16" t="s">
        <v>4</v>
      </c>
      <c r="AJ15" s="16"/>
      <c r="AK15" s="16" t="s">
        <v>4</v>
      </c>
      <c r="AL15" s="16" t="s">
        <v>4</v>
      </c>
      <c r="AM15" s="16"/>
      <c r="AN15" s="16" t="s">
        <v>4</v>
      </c>
      <c r="AO15" s="16"/>
      <c r="AP15" s="16"/>
      <c r="AQ15" s="16" t="s">
        <v>4</v>
      </c>
      <c r="AR15" s="40"/>
      <c r="AS15" s="16" t="s">
        <v>4</v>
      </c>
      <c r="AT15" s="16" t="s">
        <v>4</v>
      </c>
      <c r="AV15" s="16"/>
      <c r="AW15" s="16" t="s">
        <v>4</v>
      </c>
      <c r="AX15" s="16" t="s">
        <v>4</v>
      </c>
      <c r="AY15" s="18"/>
      <c r="AZ15" s="16"/>
      <c r="BA15" s="16"/>
      <c r="BB15" s="16"/>
      <c r="BC15" s="16"/>
    </row>
    <row r="16">
      <c r="A16" s="15"/>
      <c r="B16" s="92" t="s">
        <v>117</v>
      </c>
      <c r="C16" s="17" t="s">
        <v>2</v>
      </c>
      <c r="D16" s="16"/>
      <c r="E16" s="16"/>
      <c r="F16" s="16"/>
      <c r="G16" s="16"/>
      <c r="H16" s="20"/>
      <c r="I16" s="20"/>
      <c r="J16" s="16"/>
      <c r="K16" s="16" t="s">
        <v>4</v>
      </c>
      <c r="L16" s="16"/>
      <c r="M16" s="16"/>
      <c r="N16" s="20"/>
      <c r="O16" s="16"/>
      <c r="P16" s="16"/>
      <c r="Q16" s="16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43"/>
      <c r="AE16" s="20"/>
      <c r="AF16" s="43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40"/>
      <c r="AS16" s="16"/>
      <c r="AT16" s="20"/>
      <c r="AV16" s="20"/>
      <c r="AW16" s="20"/>
      <c r="AX16" s="20"/>
      <c r="AY16" s="44"/>
      <c r="AZ16" s="20"/>
      <c r="BA16" s="20"/>
      <c r="BB16" s="20"/>
      <c r="BC16" s="20"/>
    </row>
    <row r="17">
      <c r="A17" s="15"/>
      <c r="B17" s="19" t="s">
        <v>19</v>
      </c>
      <c r="C17" s="17" t="s">
        <v>2</v>
      </c>
      <c r="D17" s="16" t="s">
        <v>4</v>
      </c>
      <c r="E17" s="16" t="s">
        <v>4</v>
      </c>
      <c r="F17" s="16" t="s">
        <v>4</v>
      </c>
      <c r="G17" s="16" t="s">
        <v>4</v>
      </c>
      <c r="H17" s="16" t="s">
        <v>4</v>
      </c>
      <c r="I17" s="16"/>
      <c r="J17" s="16" t="s">
        <v>4</v>
      </c>
      <c r="K17" s="16" t="s">
        <v>4</v>
      </c>
      <c r="L17" s="16" t="s">
        <v>4</v>
      </c>
      <c r="M17" s="16" t="s">
        <v>4</v>
      </c>
      <c r="N17" s="16"/>
      <c r="O17" s="16" t="s">
        <v>4</v>
      </c>
      <c r="P17" s="16" t="s">
        <v>4</v>
      </c>
      <c r="Q17" s="16" t="s">
        <v>4</v>
      </c>
      <c r="R17" s="16" t="s">
        <v>4</v>
      </c>
      <c r="S17" s="16" t="s">
        <v>4</v>
      </c>
      <c r="T17" s="16"/>
      <c r="U17" s="16" t="s">
        <v>4</v>
      </c>
      <c r="V17" s="16"/>
      <c r="W17" s="16" t="s">
        <v>4</v>
      </c>
      <c r="X17" s="16" t="s">
        <v>4</v>
      </c>
      <c r="Y17" s="16" t="s">
        <v>4</v>
      </c>
      <c r="Z17" s="16" t="s">
        <v>4</v>
      </c>
      <c r="AA17" s="16" t="s">
        <v>4</v>
      </c>
      <c r="AB17" s="16" t="s">
        <v>4</v>
      </c>
      <c r="AC17" s="16"/>
      <c r="AD17" s="40"/>
      <c r="AE17" s="16"/>
      <c r="AF17" s="40"/>
      <c r="AG17" s="16" t="s">
        <v>4</v>
      </c>
      <c r="AH17" s="16"/>
      <c r="AI17" s="16" t="s">
        <v>4</v>
      </c>
      <c r="AJ17" s="16"/>
      <c r="AK17" s="16"/>
      <c r="AL17" s="16" t="s">
        <v>4</v>
      </c>
      <c r="AM17" s="16" t="s">
        <v>4</v>
      </c>
      <c r="AN17" s="16" t="s">
        <v>4</v>
      </c>
      <c r="AO17" s="16" t="s">
        <v>4</v>
      </c>
      <c r="AP17" s="16" t="s">
        <v>4</v>
      </c>
      <c r="AQ17" s="16" t="s">
        <v>4</v>
      </c>
      <c r="AR17" s="40"/>
      <c r="AS17" s="16" t="s">
        <v>4</v>
      </c>
      <c r="AT17" s="16" t="s">
        <v>4</v>
      </c>
      <c r="AV17" s="16" t="s">
        <v>4</v>
      </c>
      <c r="AW17" s="16" t="s">
        <v>4</v>
      </c>
      <c r="AX17" s="16" t="s">
        <v>4</v>
      </c>
      <c r="AY17" s="18"/>
      <c r="AZ17" s="16" t="s">
        <v>4</v>
      </c>
      <c r="BA17" s="16" t="s">
        <v>4</v>
      </c>
      <c r="BB17" s="16" t="s">
        <v>4</v>
      </c>
      <c r="BC17" s="16" t="s">
        <v>4</v>
      </c>
    </row>
    <row r="18">
      <c r="A18" s="15"/>
      <c r="B18" s="19" t="s">
        <v>20</v>
      </c>
      <c r="C18" s="17" t="s">
        <v>2</v>
      </c>
      <c r="D18" s="16" t="s">
        <v>4</v>
      </c>
      <c r="E18" s="16" t="s">
        <v>4</v>
      </c>
      <c r="F18" s="16" t="s">
        <v>4</v>
      </c>
      <c r="G18" s="16" t="s">
        <v>4</v>
      </c>
      <c r="H18" s="16" t="s">
        <v>4</v>
      </c>
      <c r="I18" s="16"/>
      <c r="J18" s="16" t="s">
        <v>4</v>
      </c>
      <c r="K18" s="16" t="s">
        <v>4</v>
      </c>
      <c r="L18" s="16" t="s">
        <v>4</v>
      </c>
      <c r="M18" s="16" t="s">
        <v>4</v>
      </c>
      <c r="N18" s="16"/>
      <c r="O18" s="16" t="s">
        <v>4</v>
      </c>
      <c r="P18" s="16" t="s">
        <v>4</v>
      </c>
      <c r="Q18" s="16" t="s">
        <v>4</v>
      </c>
      <c r="R18" s="16" t="s">
        <v>4</v>
      </c>
      <c r="S18" s="16" t="s">
        <v>4</v>
      </c>
      <c r="T18" s="16" t="s">
        <v>4</v>
      </c>
      <c r="U18" s="16" t="s">
        <v>4</v>
      </c>
      <c r="V18" s="16" t="s">
        <v>4</v>
      </c>
      <c r="W18" s="16" t="s">
        <v>4</v>
      </c>
      <c r="X18" s="16" t="s">
        <v>4</v>
      </c>
      <c r="Y18" s="16" t="s">
        <v>4</v>
      </c>
      <c r="Z18" s="85" t="s">
        <v>4</v>
      </c>
      <c r="AA18" s="16" t="s">
        <v>4</v>
      </c>
      <c r="AB18" s="16" t="s">
        <v>4</v>
      </c>
      <c r="AC18" s="16"/>
      <c r="AD18" s="40"/>
      <c r="AE18" s="16"/>
      <c r="AF18" s="40"/>
      <c r="AG18" s="16" t="s">
        <v>4</v>
      </c>
      <c r="AH18" s="16"/>
      <c r="AI18" s="16" t="s">
        <v>4</v>
      </c>
      <c r="AJ18" s="16"/>
      <c r="AK18" s="16"/>
      <c r="AL18" s="16" t="s">
        <v>4</v>
      </c>
      <c r="AM18" s="16" t="s">
        <v>4</v>
      </c>
      <c r="AN18" s="16" t="s">
        <v>4</v>
      </c>
      <c r="AO18" s="16" t="s">
        <v>4</v>
      </c>
      <c r="AP18" s="16" t="s">
        <v>4</v>
      </c>
      <c r="AQ18" s="16" t="s">
        <v>4</v>
      </c>
      <c r="AR18" s="40"/>
      <c r="AS18" s="16" t="s">
        <v>4</v>
      </c>
      <c r="AT18" s="16" t="s">
        <v>4</v>
      </c>
      <c r="AV18" s="16" t="s">
        <v>4</v>
      </c>
      <c r="AW18" s="16" t="s">
        <v>4</v>
      </c>
      <c r="AX18" s="16" t="s">
        <v>4</v>
      </c>
      <c r="AY18" s="18"/>
      <c r="AZ18" s="16" t="s">
        <v>4</v>
      </c>
      <c r="BA18" s="16" t="s">
        <v>4</v>
      </c>
      <c r="BB18" s="16" t="s">
        <v>4</v>
      </c>
      <c r="BC18" s="16" t="s">
        <v>4</v>
      </c>
    </row>
    <row r="19">
      <c r="A19" s="15"/>
      <c r="B19" s="19" t="s">
        <v>21</v>
      </c>
      <c r="C19" s="17" t="s">
        <v>2</v>
      </c>
      <c r="D19" s="16"/>
      <c r="E19" s="16" t="s">
        <v>4</v>
      </c>
      <c r="F19" s="16" t="s">
        <v>4</v>
      </c>
      <c r="G19" s="16" t="s">
        <v>4</v>
      </c>
      <c r="H19" s="16" t="s">
        <v>4</v>
      </c>
      <c r="I19" s="16" t="s">
        <v>4</v>
      </c>
      <c r="J19" s="16" t="s">
        <v>4</v>
      </c>
      <c r="K19" s="16"/>
      <c r="L19" s="16"/>
      <c r="M19" s="16" t="s">
        <v>4</v>
      </c>
      <c r="N19" s="16"/>
      <c r="O19" s="16" t="s">
        <v>4</v>
      </c>
      <c r="P19" s="16" t="s">
        <v>4</v>
      </c>
      <c r="Q19" s="16" t="s">
        <v>4</v>
      </c>
      <c r="R19" s="16"/>
      <c r="S19" s="16"/>
      <c r="T19" s="20"/>
      <c r="U19" s="16" t="s">
        <v>4</v>
      </c>
      <c r="V19" s="16" t="s">
        <v>4</v>
      </c>
      <c r="W19" s="16" t="s">
        <v>4</v>
      </c>
      <c r="X19" s="16" t="s">
        <v>4</v>
      </c>
      <c r="Y19" s="16" t="s">
        <v>4</v>
      </c>
      <c r="Z19" s="16" t="s">
        <v>4</v>
      </c>
      <c r="AA19" s="16"/>
      <c r="AB19" s="16"/>
      <c r="AC19" s="16" t="s">
        <v>4</v>
      </c>
      <c r="AD19" s="40"/>
      <c r="AE19" s="16" t="s">
        <v>4</v>
      </c>
      <c r="AF19" s="40"/>
      <c r="AG19" s="16" t="s">
        <v>4</v>
      </c>
      <c r="AH19" s="16"/>
      <c r="AI19" s="16"/>
      <c r="AJ19" s="16" t="s">
        <v>4</v>
      </c>
      <c r="AK19" s="16" t="s">
        <v>4</v>
      </c>
      <c r="AL19" s="16"/>
      <c r="AM19" s="16"/>
      <c r="AN19" s="16"/>
      <c r="AO19" s="16"/>
      <c r="AP19" s="16" t="s">
        <v>4</v>
      </c>
      <c r="AQ19" s="16"/>
      <c r="AR19" s="40"/>
      <c r="AS19" s="16"/>
      <c r="AT19" s="16"/>
      <c r="AV19" s="16" t="s">
        <v>4</v>
      </c>
      <c r="AW19" s="16"/>
      <c r="AX19" s="16"/>
      <c r="AY19" s="18"/>
      <c r="AZ19" s="16"/>
      <c r="BA19" s="16"/>
      <c r="BB19" s="16"/>
      <c r="BC19" s="16"/>
    </row>
    <row r="20">
      <c r="A20" s="15"/>
      <c r="B20" s="19" t="s">
        <v>22</v>
      </c>
      <c r="C20" s="17" t="s">
        <v>2</v>
      </c>
      <c r="D20" s="16" t="s">
        <v>4</v>
      </c>
      <c r="E20" s="16" t="s">
        <v>4</v>
      </c>
      <c r="F20" s="16" t="s">
        <v>4</v>
      </c>
      <c r="G20" s="16"/>
      <c r="H20" s="16" t="s">
        <v>4</v>
      </c>
      <c r="I20" s="16" t="s">
        <v>4</v>
      </c>
      <c r="J20" s="16" t="s">
        <v>4</v>
      </c>
      <c r="K20" s="16" t="s">
        <v>4</v>
      </c>
      <c r="L20" s="16"/>
      <c r="M20" s="16"/>
      <c r="N20" s="16"/>
      <c r="O20" s="16" t="s">
        <v>4</v>
      </c>
      <c r="P20" s="16" t="s">
        <v>4</v>
      </c>
      <c r="Q20" s="16" t="s">
        <v>4</v>
      </c>
      <c r="R20" s="16"/>
      <c r="S20" s="16"/>
      <c r="T20" s="16"/>
      <c r="U20" s="16" t="s">
        <v>4</v>
      </c>
      <c r="V20" s="16" t="s">
        <v>4</v>
      </c>
      <c r="W20" s="16"/>
      <c r="X20" s="16"/>
      <c r="Y20" s="16" t="s">
        <v>4</v>
      </c>
      <c r="Z20" s="16"/>
      <c r="AA20" s="16" t="s">
        <v>4</v>
      </c>
      <c r="AB20" s="16"/>
      <c r="AC20" s="16"/>
      <c r="AD20" s="40"/>
      <c r="AE20" s="16" t="s">
        <v>4</v>
      </c>
      <c r="AF20" s="40"/>
      <c r="AG20" s="16"/>
      <c r="AH20" s="16" t="s">
        <v>4</v>
      </c>
      <c r="AI20" s="16"/>
      <c r="AJ20" s="16" t="s">
        <v>4</v>
      </c>
      <c r="AK20" s="16"/>
      <c r="AL20" s="16" t="s">
        <v>4</v>
      </c>
      <c r="AM20" s="16"/>
      <c r="AN20" s="16" t="s">
        <v>4</v>
      </c>
      <c r="AO20" s="16"/>
      <c r="AP20" s="16"/>
      <c r="AQ20" s="16" t="s">
        <v>4</v>
      </c>
      <c r="AR20" s="40"/>
      <c r="AS20" s="16"/>
      <c r="AT20" s="16"/>
      <c r="AV20" s="16"/>
      <c r="AW20" s="16" t="s">
        <v>4</v>
      </c>
      <c r="AX20" s="16" t="s">
        <v>4</v>
      </c>
      <c r="AY20" s="18"/>
      <c r="AZ20" s="16"/>
      <c r="BA20" s="16"/>
      <c r="BB20" s="16"/>
      <c r="BC20" s="16"/>
    </row>
    <row r="21">
      <c r="A21" s="15"/>
      <c r="B21" s="19" t="s">
        <v>23</v>
      </c>
      <c r="C21" s="17" t="s">
        <v>2</v>
      </c>
      <c r="D21" s="16" t="s">
        <v>4</v>
      </c>
      <c r="E21" s="16" t="s">
        <v>4</v>
      </c>
      <c r="F21" s="16" t="s">
        <v>4</v>
      </c>
      <c r="G21" s="16" t="s">
        <v>4</v>
      </c>
      <c r="H21" s="16" t="s">
        <v>4</v>
      </c>
      <c r="I21" s="16" t="s">
        <v>4</v>
      </c>
      <c r="J21" s="16" t="s">
        <v>4</v>
      </c>
      <c r="K21" s="16" t="s">
        <v>4</v>
      </c>
      <c r="L21" s="16"/>
      <c r="M21" s="16"/>
      <c r="N21" s="16"/>
      <c r="O21" s="16" t="s">
        <v>4</v>
      </c>
      <c r="P21" s="16" t="s">
        <v>4</v>
      </c>
      <c r="Q21" s="16" t="s">
        <v>4</v>
      </c>
      <c r="R21" s="16"/>
      <c r="S21" s="16" t="s">
        <v>4</v>
      </c>
      <c r="T21" s="16" t="s">
        <v>4</v>
      </c>
      <c r="U21" s="16" t="s">
        <v>4</v>
      </c>
      <c r="V21" s="16"/>
      <c r="W21" s="16" t="s">
        <v>4</v>
      </c>
      <c r="X21" s="16" t="s">
        <v>4</v>
      </c>
      <c r="Y21" s="16" t="s">
        <v>4</v>
      </c>
      <c r="Z21" s="16" t="s">
        <v>4</v>
      </c>
      <c r="AA21" s="16" t="s">
        <v>4</v>
      </c>
      <c r="AB21" s="16" t="s">
        <v>4</v>
      </c>
      <c r="AC21" s="16" t="s">
        <v>4</v>
      </c>
      <c r="AD21" s="40"/>
      <c r="AE21" s="16" t="s">
        <v>4</v>
      </c>
      <c r="AF21" s="40"/>
      <c r="AG21" s="16" t="s">
        <v>4</v>
      </c>
      <c r="AH21" s="16"/>
      <c r="AI21" s="16" t="s">
        <v>4</v>
      </c>
      <c r="AJ21" s="16"/>
      <c r="AK21" s="16"/>
      <c r="AL21" s="16" t="s">
        <v>4</v>
      </c>
      <c r="AM21" s="16" t="s">
        <v>4</v>
      </c>
      <c r="AN21" s="16" t="s">
        <v>4</v>
      </c>
      <c r="AO21" s="16"/>
      <c r="AP21" s="16" t="s">
        <v>4</v>
      </c>
      <c r="AQ21" s="16" t="s">
        <v>4</v>
      </c>
      <c r="AR21" s="40"/>
      <c r="AS21" s="16"/>
      <c r="AT21" s="16" t="s">
        <v>4</v>
      </c>
      <c r="AV21" s="16" t="s">
        <v>4</v>
      </c>
      <c r="AW21" s="16"/>
      <c r="AX21" s="16"/>
      <c r="AY21" s="18"/>
      <c r="AZ21" s="16" t="s">
        <v>4</v>
      </c>
      <c r="BA21" s="16" t="s">
        <v>4</v>
      </c>
      <c r="BB21" s="16" t="s">
        <v>4</v>
      </c>
      <c r="BC21" s="16" t="s">
        <v>4</v>
      </c>
    </row>
    <row r="22">
      <c r="A22" s="15"/>
      <c r="B22" s="16" t="s">
        <v>41</v>
      </c>
      <c r="C22" s="17" t="s">
        <v>30</v>
      </c>
      <c r="D22" s="16" t="s">
        <v>4</v>
      </c>
      <c r="E22" s="16" t="s">
        <v>4</v>
      </c>
      <c r="F22" s="16" t="s">
        <v>4</v>
      </c>
      <c r="G22" s="16" t="s">
        <v>4</v>
      </c>
      <c r="H22" s="20"/>
      <c r="I22" s="16" t="s">
        <v>4</v>
      </c>
      <c r="J22" s="16" t="s">
        <v>4</v>
      </c>
      <c r="K22" s="16" t="s">
        <v>4</v>
      </c>
      <c r="L22" s="16"/>
      <c r="M22" s="16" t="s">
        <v>4</v>
      </c>
      <c r="N22" s="20"/>
      <c r="O22" s="16" t="s">
        <v>4</v>
      </c>
      <c r="P22" s="16"/>
      <c r="Q22" s="16" t="s">
        <v>4</v>
      </c>
      <c r="R22" s="16" t="s">
        <v>4</v>
      </c>
      <c r="S22" s="16" t="s">
        <v>4</v>
      </c>
      <c r="T22" s="20"/>
      <c r="U22" s="16" t="s">
        <v>4</v>
      </c>
      <c r="V22" s="20"/>
      <c r="W22" s="16" t="s">
        <v>4</v>
      </c>
      <c r="X22" s="16" t="s">
        <v>4</v>
      </c>
      <c r="Y22" s="16" t="s">
        <v>4</v>
      </c>
      <c r="Z22" s="20"/>
      <c r="AA22" s="16" t="s">
        <v>4</v>
      </c>
      <c r="AB22" s="20"/>
      <c r="AC22" s="16" t="s">
        <v>4</v>
      </c>
      <c r="AD22" s="40"/>
      <c r="AE22" s="16" t="s">
        <v>4</v>
      </c>
      <c r="AF22" s="43"/>
      <c r="AG22" s="16" t="s">
        <v>4</v>
      </c>
      <c r="AH22" s="20"/>
      <c r="AI22" s="16" t="s">
        <v>4</v>
      </c>
      <c r="AJ22" s="16"/>
      <c r="AK22" s="16"/>
      <c r="AL22" s="16" t="s">
        <v>4</v>
      </c>
      <c r="AM22" s="16" t="s">
        <v>4</v>
      </c>
      <c r="AN22" s="16" t="s">
        <v>4</v>
      </c>
      <c r="AO22" s="16"/>
      <c r="AP22" s="16"/>
      <c r="AQ22" s="16" t="s">
        <v>4</v>
      </c>
      <c r="AR22" s="40"/>
      <c r="AS22" s="20"/>
      <c r="AT22" s="16" t="s">
        <v>4</v>
      </c>
      <c r="AV22" s="16" t="s">
        <v>4</v>
      </c>
      <c r="AW22" s="16"/>
      <c r="AX22" s="16"/>
      <c r="AY22" s="18"/>
      <c r="AZ22" s="16" t="s">
        <v>4</v>
      </c>
      <c r="BA22" s="16" t="s">
        <v>4</v>
      </c>
      <c r="BB22" s="16" t="s">
        <v>4</v>
      </c>
      <c r="BC22" s="16" t="s">
        <v>4</v>
      </c>
    </row>
    <row r="23">
      <c r="A23" s="15"/>
      <c r="B23" s="19" t="s">
        <v>24</v>
      </c>
      <c r="C23" s="17" t="s">
        <v>2</v>
      </c>
      <c r="D23" s="16" t="s">
        <v>4</v>
      </c>
      <c r="E23" s="16" t="s">
        <v>4</v>
      </c>
      <c r="F23" s="16" t="s">
        <v>4</v>
      </c>
      <c r="G23" s="16" t="s">
        <v>4</v>
      </c>
      <c r="H23" s="16" t="s">
        <v>4</v>
      </c>
      <c r="I23" s="16" t="s">
        <v>4</v>
      </c>
      <c r="J23" s="16" t="s">
        <v>4</v>
      </c>
      <c r="K23" s="16" t="s">
        <v>4</v>
      </c>
      <c r="L23" s="16" t="s">
        <v>4</v>
      </c>
      <c r="M23" s="16" t="s">
        <v>4</v>
      </c>
      <c r="N23" s="16" t="s">
        <v>4</v>
      </c>
      <c r="O23" s="16" t="s">
        <v>4</v>
      </c>
      <c r="P23" s="16"/>
      <c r="Q23" s="16" t="s">
        <v>4</v>
      </c>
      <c r="R23" s="16" t="s">
        <v>4</v>
      </c>
      <c r="S23" s="16" t="s">
        <v>4</v>
      </c>
      <c r="T23" s="16" t="s">
        <v>4</v>
      </c>
      <c r="U23" s="16" t="s">
        <v>4</v>
      </c>
      <c r="V23" s="16" t="s">
        <v>4</v>
      </c>
      <c r="W23" s="16" t="s">
        <v>4</v>
      </c>
      <c r="X23" s="16"/>
      <c r="Y23" s="16" t="s">
        <v>4</v>
      </c>
      <c r="Z23" s="16"/>
      <c r="AA23" s="16"/>
      <c r="AB23" s="16" t="s">
        <v>4</v>
      </c>
      <c r="AC23" s="16" t="s">
        <v>4</v>
      </c>
      <c r="AD23" s="40"/>
      <c r="AE23" s="16" t="s">
        <v>4</v>
      </c>
      <c r="AF23" s="40"/>
      <c r="AG23" s="16" t="s">
        <v>4</v>
      </c>
      <c r="AH23" s="16" t="s">
        <v>4</v>
      </c>
      <c r="AI23" s="16" t="s">
        <v>4</v>
      </c>
      <c r="AJ23" s="16" t="s">
        <v>4</v>
      </c>
      <c r="AK23" s="16" t="s">
        <v>4</v>
      </c>
      <c r="AL23" s="16" t="s">
        <v>4</v>
      </c>
      <c r="AM23" s="16" t="s">
        <v>4</v>
      </c>
      <c r="AN23" s="16" t="s">
        <v>4</v>
      </c>
      <c r="AO23" s="16"/>
      <c r="AP23" s="16"/>
      <c r="AQ23" s="16" t="s">
        <v>4</v>
      </c>
      <c r="AR23" s="40"/>
      <c r="AS23" s="16"/>
      <c r="AT23" s="16" t="s">
        <v>4</v>
      </c>
      <c r="AV23" s="16" t="s">
        <v>4</v>
      </c>
      <c r="AW23" s="16" t="s">
        <v>4</v>
      </c>
      <c r="AX23" s="16" t="s">
        <v>4</v>
      </c>
      <c r="AY23" s="18"/>
      <c r="AZ23" s="16" t="s">
        <v>4</v>
      </c>
      <c r="BA23" s="16" t="s">
        <v>4</v>
      </c>
      <c r="BB23" s="16" t="s">
        <v>4</v>
      </c>
      <c r="BC23" s="16" t="s">
        <v>4</v>
      </c>
    </row>
    <row r="24">
      <c r="A24" s="15"/>
      <c r="B24" s="19" t="s">
        <v>25</v>
      </c>
      <c r="C24" s="17" t="s">
        <v>2</v>
      </c>
      <c r="D24" s="16" t="s">
        <v>4</v>
      </c>
      <c r="E24" s="16"/>
      <c r="F24" s="16" t="s">
        <v>4</v>
      </c>
      <c r="G24" s="16" t="s">
        <v>4</v>
      </c>
      <c r="H24" s="16" t="s">
        <v>4</v>
      </c>
      <c r="I24" s="16" t="s">
        <v>4</v>
      </c>
      <c r="J24" s="16"/>
      <c r="K24" s="16" t="s">
        <v>4</v>
      </c>
      <c r="L24" s="16" t="s">
        <v>4</v>
      </c>
      <c r="M24" s="16" t="s">
        <v>4</v>
      </c>
      <c r="N24" s="16" t="s">
        <v>4</v>
      </c>
      <c r="O24" s="16" t="s">
        <v>4</v>
      </c>
      <c r="P24" s="16"/>
      <c r="Q24" s="16"/>
      <c r="R24" s="16"/>
      <c r="S24" s="16" t="s">
        <v>4</v>
      </c>
      <c r="T24" s="16"/>
      <c r="U24" s="16"/>
      <c r="V24" s="16" t="s">
        <v>4</v>
      </c>
      <c r="W24" s="16" t="s">
        <v>4</v>
      </c>
      <c r="X24" s="16"/>
      <c r="Y24" s="16"/>
      <c r="Z24" s="20"/>
      <c r="AA24" s="16"/>
      <c r="AB24" s="16" t="s">
        <v>4</v>
      </c>
      <c r="AC24" s="16"/>
      <c r="AD24" s="40"/>
      <c r="AE24" s="16"/>
      <c r="AF24" s="40"/>
      <c r="AG24" s="16" t="s">
        <v>4</v>
      </c>
      <c r="AH24" s="16"/>
      <c r="AI24" s="16" t="s">
        <v>4</v>
      </c>
      <c r="AJ24" s="16"/>
      <c r="AK24" s="16" t="s">
        <v>4</v>
      </c>
      <c r="AL24" s="16"/>
      <c r="AM24" s="16" t="s">
        <v>4</v>
      </c>
      <c r="AN24" s="16"/>
      <c r="AO24" s="16"/>
      <c r="AP24" s="16"/>
      <c r="AQ24" s="16" t="s">
        <v>4</v>
      </c>
      <c r="AR24" s="40"/>
      <c r="AS24" s="16"/>
      <c r="AT24" s="16"/>
      <c r="AV24" s="16" t="s">
        <v>4</v>
      </c>
      <c r="AW24" s="16" t="s">
        <v>4</v>
      </c>
      <c r="AX24" s="16" t="s">
        <v>4</v>
      </c>
      <c r="AY24" s="18"/>
      <c r="AZ24" s="16"/>
      <c r="BA24" s="16"/>
      <c r="BB24" s="16"/>
      <c r="BC24" s="16"/>
    </row>
    <row r="25">
      <c r="A25" s="15"/>
      <c r="B25" s="19" t="s">
        <v>26</v>
      </c>
      <c r="C25" s="17" t="s">
        <v>2</v>
      </c>
      <c r="D25" s="16"/>
      <c r="E25" s="16" t="s">
        <v>4</v>
      </c>
      <c r="F25" s="16"/>
      <c r="G25" s="16"/>
      <c r="H25" s="16"/>
      <c r="I25" s="16"/>
      <c r="J25" s="16"/>
      <c r="K25" s="16" t="s">
        <v>4</v>
      </c>
      <c r="L25" s="16" t="s">
        <v>4</v>
      </c>
      <c r="M25" s="16" t="s">
        <v>4</v>
      </c>
      <c r="N25" s="16" t="s">
        <v>4</v>
      </c>
      <c r="O25" s="16" t="s">
        <v>4</v>
      </c>
      <c r="P25" s="16" t="s">
        <v>4</v>
      </c>
      <c r="Q25" s="16" t="s">
        <v>4</v>
      </c>
      <c r="R25" s="16" t="s">
        <v>4</v>
      </c>
      <c r="S25" s="16" t="s">
        <v>4</v>
      </c>
      <c r="T25" s="16" t="s">
        <v>4</v>
      </c>
      <c r="U25" s="16" t="s">
        <v>4</v>
      </c>
      <c r="V25" s="16" t="s">
        <v>4</v>
      </c>
      <c r="W25" s="16"/>
      <c r="X25" s="16" t="s">
        <v>4</v>
      </c>
      <c r="Y25" s="16" t="s">
        <v>4</v>
      </c>
      <c r="Z25" s="16" t="s">
        <v>4</v>
      </c>
      <c r="AA25" s="16"/>
      <c r="AB25" s="16"/>
      <c r="AC25" s="16" t="s">
        <v>4</v>
      </c>
      <c r="AD25" s="40"/>
      <c r="AE25" s="16"/>
      <c r="AF25" s="40"/>
      <c r="AG25" s="16" t="s">
        <v>4</v>
      </c>
      <c r="AH25" s="16"/>
      <c r="AI25" s="16" t="s">
        <v>4</v>
      </c>
      <c r="AJ25" s="16"/>
      <c r="AK25" s="16"/>
      <c r="AL25" s="16"/>
      <c r="AM25" s="16" t="s">
        <v>4</v>
      </c>
      <c r="AN25" s="16" t="s">
        <v>4</v>
      </c>
      <c r="AO25" s="16"/>
      <c r="AP25" s="16"/>
      <c r="AQ25" s="16"/>
      <c r="AR25" s="40"/>
      <c r="AS25" s="16" t="s">
        <v>4</v>
      </c>
      <c r="AT25" s="16" t="s">
        <v>4</v>
      </c>
      <c r="AV25" s="16"/>
      <c r="AW25" s="16" t="s">
        <v>4</v>
      </c>
      <c r="AX25" s="16" t="s">
        <v>4</v>
      </c>
      <c r="AY25" s="18"/>
      <c r="AZ25" s="16"/>
      <c r="BA25" s="16"/>
      <c r="BB25" s="16"/>
      <c r="BC25" s="16"/>
    </row>
    <row r="26">
      <c r="A26" s="15"/>
      <c r="B26" s="19" t="s">
        <v>27</v>
      </c>
      <c r="C26" s="17" t="s">
        <v>2</v>
      </c>
      <c r="D26" s="16" t="s">
        <v>4</v>
      </c>
      <c r="E26" s="16" t="s">
        <v>4</v>
      </c>
      <c r="F26" s="16" t="s">
        <v>4</v>
      </c>
      <c r="G26" s="16"/>
      <c r="H26" s="16" t="s">
        <v>4</v>
      </c>
      <c r="I26" s="16"/>
      <c r="J26" s="16" t="s">
        <v>4</v>
      </c>
      <c r="K26" s="16" t="s">
        <v>4</v>
      </c>
      <c r="L26" s="16" t="s">
        <v>4</v>
      </c>
      <c r="M26" s="16" t="s">
        <v>4</v>
      </c>
      <c r="N26" s="16"/>
      <c r="O26" s="16" t="s">
        <v>4</v>
      </c>
      <c r="P26" s="16" t="s">
        <v>4</v>
      </c>
      <c r="Q26" s="16"/>
      <c r="R26" s="16"/>
      <c r="S26" s="16" t="s">
        <v>4</v>
      </c>
      <c r="T26" s="16" t="s">
        <v>4</v>
      </c>
      <c r="U26" s="16"/>
      <c r="V26" s="16" t="s">
        <v>4</v>
      </c>
      <c r="W26" s="16" t="s">
        <v>4</v>
      </c>
      <c r="X26" s="16" t="s">
        <v>4</v>
      </c>
      <c r="Y26" s="16" t="s">
        <v>4</v>
      </c>
      <c r="Z26" s="16" t="s">
        <v>4</v>
      </c>
      <c r="AA26" s="16" t="s">
        <v>4</v>
      </c>
      <c r="AB26" s="16" t="s">
        <v>4</v>
      </c>
      <c r="AC26" s="16" t="s">
        <v>4</v>
      </c>
      <c r="AD26" s="40"/>
      <c r="AE26" s="16" t="s">
        <v>4</v>
      </c>
      <c r="AF26" s="40"/>
      <c r="AG26" s="16" t="s">
        <v>4</v>
      </c>
      <c r="AH26" s="16"/>
      <c r="AI26" s="16" t="s">
        <v>4</v>
      </c>
      <c r="AJ26" s="16" t="s">
        <v>4</v>
      </c>
      <c r="AK26" s="16" t="s">
        <v>4</v>
      </c>
      <c r="AL26" s="16" t="s">
        <v>4</v>
      </c>
      <c r="AM26" s="16"/>
      <c r="AN26" s="16" t="s">
        <v>4</v>
      </c>
      <c r="AO26" s="16"/>
      <c r="AP26" s="16" t="s">
        <v>4</v>
      </c>
      <c r="AQ26" s="16" t="s">
        <v>4</v>
      </c>
      <c r="AR26" s="40"/>
      <c r="AS26" s="16" t="s">
        <v>4</v>
      </c>
      <c r="AT26" s="16" t="s">
        <v>4</v>
      </c>
      <c r="AV26" s="16" t="s">
        <v>4</v>
      </c>
      <c r="AW26" s="16" t="s">
        <v>4</v>
      </c>
      <c r="AX26" s="16" t="s">
        <v>4</v>
      </c>
      <c r="AY26" s="18"/>
      <c r="AZ26" s="16" t="s">
        <v>4</v>
      </c>
      <c r="BA26" s="16" t="s">
        <v>4</v>
      </c>
      <c r="BB26" s="16" t="s">
        <v>4</v>
      </c>
      <c r="BC26" s="16" t="s">
        <v>4</v>
      </c>
    </row>
    <row r="27">
      <c r="A27" s="15"/>
      <c r="B27" s="19" t="s">
        <v>28</v>
      </c>
      <c r="C27" s="17" t="s">
        <v>2</v>
      </c>
      <c r="D27" s="16"/>
      <c r="E27" s="16" t="s">
        <v>4</v>
      </c>
      <c r="F27" s="16"/>
      <c r="G27" s="16" t="s">
        <v>4</v>
      </c>
      <c r="H27" s="16" t="s">
        <v>4</v>
      </c>
      <c r="I27" s="16" t="s">
        <v>4</v>
      </c>
      <c r="J27" s="16" t="s">
        <v>4</v>
      </c>
      <c r="K27" s="16" t="s">
        <v>4</v>
      </c>
      <c r="L27" s="16"/>
      <c r="M27" s="16" t="s">
        <v>4</v>
      </c>
      <c r="N27" s="16"/>
      <c r="O27" s="16" t="s">
        <v>4</v>
      </c>
      <c r="P27" s="16" t="s">
        <v>4</v>
      </c>
      <c r="Q27" s="16" t="s">
        <v>4</v>
      </c>
      <c r="R27" s="16"/>
      <c r="S27" s="16" t="s">
        <v>4</v>
      </c>
      <c r="T27" s="16" t="s">
        <v>4</v>
      </c>
      <c r="U27" s="16" t="s">
        <v>4</v>
      </c>
      <c r="V27" s="16"/>
      <c r="W27" s="16" t="s">
        <v>4</v>
      </c>
      <c r="X27" s="20"/>
      <c r="Y27" s="16" t="s">
        <v>4</v>
      </c>
      <c r="Z27" s="16"/>
      <c r="AA27" s="16" t="s">
        <v>4</v>
      </c>
      <c r="AB27" s="16" t="s">
        <v>4</v>
      </c>
      <c r="AC27" s="16" t="s">
        <v>4</v>
      </c>
      <c r="AD27" s="40"/>
      <c r="AE27" s="16"/>
      <c r="AF27" s="40"/>
      <c r="AG27" s="16" t="s">
        <v>4</v>
      </c>
      <c r="AH27" s="16"/>
      <c r="AI27" s="16" t="s">
        <v>4</v>
      </c>
      <c r="AJ27" s="16"/>
      <c r="AK27" s="16" t="s">
        <v>4</v>
      </c>
      <c r="AL27" s="16" t="s">
        <v>4</v>
      </c>
      <c r="AM27" s="16"/>
      <c r="AN27" s="16" t="s">
        <v>4</v>
      </c>
      <c r="AO27" s="16" t="s">
        <v>4</v>
      </c>
      <c r="AP27" s="16" t="s">
        <v>4</v>
      </c>
      <c r="AQ27" s="16" t="s">
        <v>4</v>
      </c>
      <c r="AR27" s="40"/>
      <c r="AS27" s="16"/>
      <c r="AT27" s="16" t="s">
        <v>4</v>
      </c>
      <c r="AV27" s="16" t="s">
        <v>4</v>
      </c>
      <c r="AW27" s="16" t="s">
        <v>4</v>
      </c>
      <c r="AX27" s="16" t="s">
        <v>4</v>
      </c>
      <c r="AY27" s="18"/>
      <c r="AZ27" s="16" t="s">
        <v>4</v>
      </c>
      <c r="BA27" s="16" t="s">
        <v>4</v>
      </c>
      <c r="BB27" s="16"/>
      <c r="BC27" s="16" t="s">
        <v>4</v>
      </c>
    </row>
    <row r="28" ht="15.0" customHeight="1">
      <c r="A28" s="21"/>
      <c r="B28" s="19" t="s">
        <v>29</v>
      </c>
      <c r="C28" s="17" t="s">
        <v>2</v>
      </c>
      <c r="D28" s="16" t="s">
        <v>4</v>
      </c>
      <c r="E28" s="16"/>
      <c r="F28" s="16" t="s">
        <v>4</v>
      </c>
      <c r="G28" s="16" t="s">
        <v>4</v>
      </c>
      <c r="H28" s="16"/>
      <c r="I28" s="16"/>
      <c r="J28" s="16"/>
      <c r="K28" s="16" t="s">
        <v>4</v>
      </c>
      <c r="L28" s="16"/>
      <c r="M28" s="16"/>
      <c r="N28" s="16" t="s">
        <v>4</v>
      </c>
      <c r="O28" s="16"/>
      <c r="P28" s="16" t="s">
        <v>4</v>
      </c>
      <c r="Q28" s="16"/>
      <c r="R28" s="16" t="s">
        <v>4</v>
      </c>
      <c r="S28" s="16" t="s">
        <v>4</v>
      </c>
      <c r="T28" s="16" t="s">
        <v>4</v>
      </c>
      <c r="U28" s="16"/>
      <c r="V28" s="16"/>
      <c r="W28" s="16"/>
      <c r="X28" s="20"/>
      <c r="Y28" s="16"/>
      <c r="Z28" s="16"/>
      <c r="AA28" s="16" t="s">
        <v>4</v>
      </c>
      <c r="AB28" s="16" t="s">
        <v>4</v>
      </c>
      <c r="AC28" s="16" t="s">
        <v>4</v>
      </c>
      <c r="AD28" s="40"/>
      <c r="AE28" s="16"/>
      <c r="AF28" s="40"/>
      <c r="AG28" s="16" t="s">
        <v>4</v>
      </c>
      <c r="AH28" s="16"/>
      <c r="AI28" s="16"/>
      <c r="AJ28" s="16"/>
      <c r="AK28" s="16"/>
      <c r="AL28" s="16" t="s">
        <v>4</v>
      </c>
      <c r="AM28" s="16" t="s">
        <v>4</v>
      </c>
      <c r="AN28" s="16"/>
      <c r="AO28" s="16"/>
      <c r="AP28" s="16"/>
      <c r="AQ28" s="16"/>
      <c r="AR28" s="40"/>
      <c r="AS28" s="16"/>
      <c r="AT28" s="16" t="s">
        <v>4</v>
      </c>
      <c r="AV28" s="16" t="s">
        <v>4</v>
      </c>
      <c r="AW28" s="16" t="s">
        <v>4</v>
      </c>
      <c r="AX28" s="16" t="s">
        <v>4</v>
      </c>
      <c r="AY28" s="18"/>
      <c r="AZ28" s="16" t="s">
        <v>4</v>
      </c>
      <c r="BA28" s="16" t="s">
        <v>4</v>
      </c>
      <c r="BB28" s="16" t="s">
        <v>4</v>
      </c>
      <c r="BC28" s="16" t="s">
        <v>4</v>
      </c>
    </row>
    <row r="29">
      <c r="A29" s="93" t="s">
        <v>30</v>
      </c>
      <c r="B29" s="94" t="s">
        <v>31</v>
      </c>
      <c r="C29" s="17" t="s">
        <v>30</v>
      </c>
      <c r="D29" s="16" t="s">
        <v>4</v>
      </c>
      <c r="E29" s="16" t="s">
        <v>4</v>
      </c>
      <c r="F29" s="16"/>
      <c r="G29" s="16" t="s">
        <v>4</v>
      </c>
      <c r="H29" s="16"/>
      <c r="I29" s="16" t="s">
        <v>4</v>
      </c>
      <c r="J29" s="16"/>
      <c r="K29" s="16" t="s">
        <v>4</v>
      </c>
      <c r="L29" s="16" t="s">
        <v>4</v>
      </c>
      <c r="M29" s="16" t="s">
        <v>4</v>
      </c>
      <c r="N29" s="16" t="s">
        <v>4</v>
      </c>
      <c r="O29" s="16" t="s">
        <v>4</v>
      </c>
      <c r="P29" s="16" t="s">
        <v>4</v>
      </c>
      <c r="Q29" s="16" t="s">
        <v>4</v>
      </c>
      <c r="R29" s="16" t="s">
        <v>4</v>
      </c>
      <c r="S29" s="16" t="s">
        <v>4</v>
      </c>
      <c r="T29" s="16" t="s">
        <v>4</v>
      </c>
      <c r="U29" s="16" t="s">
        <v>4</v>
      </c>
      <c r="V29" s="16"/>
      <c r="W29" s="16" t="s">
        <v>4</v>
      </c>
      <c r="X29" s="16"/>
      <c r="Y29" s="16" t="s">
        <v>4</v>
      </c>
      <c r="Z29" s="16" t="s">
        <v>4</v>
      </c>
      <c r="AA29" s="16" t="s">
        <v>4</v>
      </c>
      <c r="AB29" s="16"/>
      <c r="AC29" s="16"/>
      <c r="AD29" s="40"/>
      <c r="AE29" s="16" t="s">
        <v>4</v>
      </c>
      <c r="AF29" s="40"/>
      <c r="AG29" s="16"/>
      <c r="AH29" s="16"/>
      <c r="AI29" s="16" t="s">
        <v>4</v>
      </c>
      <c r="AJ29" s="16"/>
      <c r="AK29" s="16"/>
      <c r="AL29" s="16" t="s">
        <v>4</v>
      </c>
      <c r="AM29" s="16" t="s">
        <v>4</v>
      </c>
      <c r="AN29" s="16"/>
      <c r="AO29" s="16" t="s">
        <v>4</v>
      </c>
      <c r="AP29" s="16" t="s">
        <v>118</v>
      </c>
      <c r="AQ29" s="16" t="s">
        <v>4</v>
      </c>
      <c r="AR29" s="40"/>
      <c r="AS29" s="16"/>
      <c r="AT29" s="16" t="s">
        <v>4</v>
      </c>
      <c r="AV29" s="16" t="s">
        <v>4</v>
      </c>
      <c r="AW29" s="16" t="s">
        <v>4</v>
      </c>
      <c r="AX29" s="16" t="s">
        <v>4</v>
      </c>
      <c r="AY29" s="18"/>
      <c r="AZ29" s="16" t="s">
        <v>4</v>
      </c>
      <c r="BA29" s="16" t="s">
        <v>4</v>
      </c>
      <c r="BB29" s="16" t="s">
        <v>4</v>
      </c>
      <c r="BC29" s="16" t="s">
        <v>4</v>
      </c>
    </row>
    <row r="30">
      <c r="A30" s="15"/>
      <c r="B30" s="16" t="s">
        <v>32</v>
      </c>
      <c r="C30" s="17" t="s">
        <v>30</v>
      </c>
      <c r="D30" s="16" t="s">
        <v>4</v>
      </c>
      <c r="E30" s="16"/>
      <c r="F30" s="16" t="s">
        <v>4</v>
      </c>
      <c r="G30" s="16" t="s">
        <v>4</v>
      </c>
      <c r="H30" s="16"/>
      <c r="I30" s="20"/>
      <c r="J30" s="16" t="s">
        <v>4</v>
      </c>
      <c r="K30" s="16" t="s">
        <v>4</v>
      </c>
      <c r="L30" s="16" t="s">
        <v>4</v>
      </c>
      <c r="M30" s="16"/>
      <c r="N30" s="16" t="s">
        <v>4</v>
      </c>
      <c r="O30" s="16" t="s">
        <v>4</v>
      </c>
      <c r="P30" s="16"/>
      <c r="Q30" s="16"/>
      <c r="R30" s="16" t="s">
        <v>4</v>
      </c>
      <c r="S30" s="16" t="s">
        <v>4</v>
      </c>
      <c r="T30" s="20"/>
      <c r="U30" s="16" t="s">
        <v>4</v>
      </c>
      <c r="V30" s="16" t="s">
        <v>4</v>
      </c>
      <c r="W30" s="16" t="s">
        <v>4</v>
      </c>
      <c r="X30" s="16" t="s">
        <v>4</v>
      </c>
      <c r="Y30" s="16" t="s">
        <v>4</v>
      </c>
      <c r="Z30" s="16" t="s">
        <v>4</v>
      </c>
      <c r="AA30" s="16" t="s">
        <v>4</v>
      </c>
      <c r="AB30" s="16" t="s">
        <v>4</v>
      </c>
      <c r="AC30" s="16" t="s">
        <v>4</v>
      </c>
      <c r="AD30" s="40"/>
      <c r="AE30" s="16" t="s">
        <v>4</v>
      </c>
      <c r="AF30" s="40"/>
      <c r="AG30" s="16" t="s">
        <v>4</v>
      </c>
      <c r="AH30" s="16" t="s">
        <v>4</v>
      </c>
      <c r="AI30" s="16" t="s">
        <v>4</v>
      </c>
      <c r="AJ30" s="16" t="s">
        <v>4</v>
      </c>
      <c r="AK30" s="16"/>
      <c r="AL30" s="16"/>
      <c r="AM30" s="16" t="s">
        <v>4</v>
      </c>
      <c r="AN30" s="16" t="s">
        <v>4</v>
      </c>
      <c r="AO30" s="16" t="s">
        <v>4</v>
      </c>
      <c r="AP30" s="16"/>
      <c r="AQ30" s="16"/>
      <c r="AR30" s="40"/>
      <c r="AS30" s="16" t="s">
        <v>4</v>
      </c>
      <c r="AT30" s="16" t="s">
        <v>4</v>
      </c>
      <c r="AV30" s="16" t="s">
        <v>4</v>
      </c>
      <c r="AW30" s="16" t="s">
        <v>4</v>
      </c>
      <c r="AX30" s="16" t="s">
        <v>4</v>
      </c>
      <c r="AY30" s="18"/>
      <c r="AZ30" s="16" t="s">
        <v>4</v>
      </c>
      <c r="BA30" s="16" t="s">
        <v>4</v>
      </c>
      <c r="BB30" s="16" t="s">
        <v>4</v>
      </c>
      <c r="BC30" s="16" t="s">
        <v>4</v>
      </c>
    </row>
    <row r="31">
      <c r="A31" s="15"/>
      <c r="B31" s="16" t="s">
        <v>33</v>
      </c>
      <c r="C31" s="17" t="s">
        <v>30</v>
      </c>
      <c r="D31" s="16" t="s">
        <v>4</v>
      </c>
      <c r="E31" s="16" t="s">
        <v>4</v>
      </c>
      <c r="F31" s="16" t="s">
        <v>4</v>
      </c>
      <c r="G31" s="16"/>
      <c r="H31" s="16" t="s">
        <v>4</v>
      </c>
      <c r="I31" s="16" t="s">
        <v>4</v>
      </c>
      <c r="J31" s="16" t="s">
        <v>4</v>
      </c>
      <c r="K31" s="16"/>
      <c r="L31" s="16" t="s">
        <v>4</v>
      </c>
      <c r="M31" s="16"/>
      <c r="N31" s="16" t="s">
        <v>4</v>
      </c>
      <c r="O31" s="16" t="s">
        <v>4</v>
      </c>
      <c r="P31" s="16" t="s">
        <v>4</v>
      </c>
      <c r="Q31" s="16"/>
      <c r="R31" s="16" t="s">
        <v>4</v>
      </c>
      <c r="S31" s="16" t="s">
        <v>4</v>
      </c>
      <c r="T31" s="16" t="s">
        <v>4</v>
      </c>
      <c r="U31" s="16"/>
      <c r="V31" s="16"/>
      <c r="W31" s="16" t="s">
        <v>4</v>
      </c>
      <c r="X31" s="16" t="s">
        <v>4</v>
      </c>
      <c r="Y31" s="16" t="s">
        <v>4</v>
      </c>
      <c r="Z31" s="16" t="s">
        <v>4</v>
      </c>
      <c r="AA31" s="16"/>
      <c r="AB31" s="16" t="s">
        <v>4</v>
      </c>
      <c r="AC31" s="16"/>
      <c r="AD31" s="40"/>
      <c r="AE31" s="16" t="s">
        <v>4</v>
      </c>
      <c r="AF31" s="40"/>
      <c r="AG31" s="16"/>
      <c r="AH31" s="16"/>
      <c r="AI31" s="16"/>
      <c r="AJ31" s="16"/>
      <c r="AK31" s="16"/>
      <c r="AL31" s="16" t="s">
        <v>4</v>
      </c>
      <c r="AM31" s="16" t="s">
        <v>4</v>
      </c>
      <c r="AN31" s="16"/>
      <c r="AO31" s="16"/>
      <c r="AP31" s="16" t="s">
        <v>4</v>
      </c>
      <c r="AQ31" s="16"/>
      <c r="AR31" s="40"/>
      <c r="AS31" s="16" t="s">
        <v>4</v>
      </c>
      <c r="AT31" s="16" t="s">
        <v>4</v>
      </c>
      <c r="AV31" s="16"/>
      <c r="AW31" s="16" t="s">
        <v>4</v>
      </c>
      <c r="AX31" s="16" t="s">
        <v>4</v>
      </c>
      <c r="AY31" s="18"/>
      <c r="AZ31" s="16" t="s">
        <v>4</v>
      </c>
      <c r="BA31" s="16" t="s">
        <v>4</v>
      </c>
      <c r="BB31" s="16" t="s">
        <v>4</v>
      </c>
      <c r="BC31" s="16" t="s">
        <v>4</v>
      </c>
    </row>
    <row r="32">
      <c r="A32" s="15"/>
      <c r="B32" s="16" t="s">
        <v>34</v>
      </c>
      <c r="C32" s="17" t="s">
        <v>30</v>
      </c>
      <c r="D32" s="16" t="s">
        <v>4</v>
      </c>
      <c r="E32" s="16" t="s">
        <v>4</v>
      </c>
      <c r="F32" s="16" t="s">
        <v>4</v>
      </c>
      <c r="G32" s="16"/>
      <c r="H32" s="16" t="s">
        <v>4</v>
      </c>
      <c r="I32" s="16" t="s">
        <v>4</v>
      </c>
      <c r="J32" s="16" t="s">
        <v>4</v>
      </c>
      <c r="K32" s="16"/>
      <c r="L32" s="16" t="s">
        <v>4</v>
      </c>
      <c r="M32" s="16"/>
      <c r="N32" s="16" t="s">
        <v>4</v>
      </c>
      <c r="O32" s="16" t="s">
        <v>4</v>
      </c>
      <c r="P32" s="16" t="s">
        <v>4</v>
      </c>
      <c r="Q32" s="16"/>
      <c r="R32" s="16" t="s">
        <v>4</v>
      </c>
      <c r="S32" s="16"/>
      <c r="T32" s="16" t="s">
        <v>4</v>
      </c>
      <c r="U32" s="16"/>
      <c r="V32" s="20"/>
      <c r="W32" s="16" t="s">
        <v>4</v>
      </c>
      <c r="X32" s="16" t="s">
        <v>4</v>
      </c>
      <c r="Y32" s="16" t="s">
        <v>4</v>
      </c>
      <c r="Z32" s="16" t="s">
        <v>4</v>
      </c>
      <c r="AA32" s="16"/>
      <c r="AB32" s="16"/>
      <c r="AC32" s="16"/>
      <c r="AD32" s="40"/>
      <c r="AE32" s="16" t="s">
        <v>4</v>
      </c>
      <c r="AF32" s="40"/>
      <c r="AG32" s="16"/>
      <c r="AH32" s="16"/>
      <c r="AI32" s="16"/>
      <c r="AJ32" s="16"/>
      <c r="AK32" s="16"/>
      <c r="AL32" s="16" t="s">
        <v>4</v>
      </c>
      <c r="AM32" s="16" t="s">
        <v>4</v>
      </c>
      <c r="AN32" s="16"/>
      <c r="AO32" s="16"/>
      <c r="AP32" s="16" t="s">
        <v>4</v>
      </c>
      <c r="AQ32" s="16"/>
      <c r="AR32" s="40"/>
      <c r="AS32" s="16"/>
      <c r="AT32" s="16" t="s">
        <v>4</v>
      </c>
      <c r="AV32" s="16"/>
      <c r="AW32" s="16" t="s">
        <v>4</v>
      </c>
      <c r="AX32" s="16" t="s">
        <v>4</v>
      </c>
      <c r="AY32" s="18"/>
      <c r="AZ32" s="16" t="s">
        <v>4</v>
      </c>
      <c r="BA32" s="16" t="s">
        <v>4</v>
      </c>
      <c r="BB32" s="16" t="s">
        <v>4</v>
      </c>
      <c r="BC32" s="16" t="s">
        <v>4</v>
      </c>
    </row>
    <row r="33">
      <c r="A33" s="15"/>
      <c r="B33" s="16" t="s">
        <v>35</v>
      </c>
      <c r="C33" s="17" t="s">
        <v>30</v>
      </c>
      <c r="D33" s="16" t="s">
        <v>4</v>
      </c>
      <c r="E33" s="16" t="s">
        <v>4</v>
      </c>
      <c r="F33" s="16"/>
      <c r="G33" s="16" t="s">
        <v>4</v>
      </c>
      <c r="H33" s="16"/>
      <c r="I33" s="16"/>
      <c r="J33" s="16" t="s">
        <v>4</v>
      </c>
      <c r="K33" s="16" t="s">
        <v>4</v>
      </c>
      <c r="L33" s="16" t="s">
        <v>4</v>
      </c>
      <c r="M33" s="16"/>
      <c r="N33" s="20"/>
      <c r="O33" s="16"/>
      <c r="P33" s="16"/>
      <c r="Q33" s="16" t="s">
        <v>4</v>
      </c>
      <c r="R33" s="16" t="s">
        <v>4</v>
      </c>
      <c r="S33" s="16" t="s">
        <v>4</v>
      </c>
      <c r="T33" s="16" t="s">
        <v>4</v>
      </c>
      <c r="U33" s="16" t="s">
        <v>4</v>
      </c>
      <c r="V33" s="16" t="s">
        <v>4</v>
      </c>
      <c r="W33" s="16" t="s">
        <v>4</v>
      </c>
      <c r="X33" s="16" t="s">
        <v>4</v>
      </c>
      <c r="Y33" s="16" t="s">
        <v>4</v>
      </c>
      <c r="Z33" s="16" t="s">
        <v>4</v>
      </c>
      <c r="AA33" s="16"/>
      <c r="AB33" s="16" t="s">
        <v>4</v>
      </c>
      <c r="AC33" s="16"/>
      <c r="AD33" s="40"/>
      <c r="AE33" s="16" t="s">
        <v>4</v>
      </c>
      <c r="AF33" s="40"/>
      <c r="AG33" s="16" t="s">
        <v>4</v>
      </c>
      <c r="AH33" s="16"/>
      <c r="AI33" s="16" t="s">
        <v>4</v>
      </c>
      <c r="AJ33" s="16"/>
      <c r="AK33" s="16" t="s">
        <v>4</v>
      </c>
      <c r="AL33" s="16" t="s">
        <v>4</v>
      </c>
      <c r="AM33" s="16" t="s">
        <v>4</v>
      </c>
      <c r="AN33" s="16"/>
      <c r="AO33" s="16"/>
      <c r="AP33" s="16" t="s">
        <v>4</v>
      </c>
      <c r="AQ33" s="16" t="s">
        <v>4</v>
      </c>
      <c r="AR33" s="40"/>
      <c r="AS33" s="16"/>
      <c r="AT33" s="16" t="s">
        <v>4</v>
      </c>
      <c r="AV33" s="16" t="s">
        <v>4</v>
      </c>
      <c r="AW33" s="16" t="s">
        <v>4</v>
      </c>
      <c r="AX33" s="16" t="s">
        <v>4</v>
      </c>
      <c r="AY33" s="18"/>
      <c r="AZ33" s="16" t="s">
        <v>4</v>
      </c>
      <c r="BA33" s="16" t="s">
        <v>4</v>
      </c>
      <c r="BB33" s="16" t="s">
        <v>4</v>
      </c>
      <c r="BC33" s="16" t="s">
        <v>4</v>
      </c>
    </row>
    <row r="34">
      <c r="A34" s="15"/>
      <c r="B34" s="16" t="s">
        <v>36</v>
      </c>
      <c r="C34" s="17" t="s">
        <v>30</v>
      </c>
      <c r="D34" s="16" t="s">
        <v>4</v>
      </c>
      <c r="E34" s="16" t="s">
        <v>4</v>
      </c>
      <c r="F34" s="16" t="s">
        <v>4</v>
      </c>
      <c r="G34" s="16" t="s">
        <v>4</v>
      </c>
      <c r="H34" s="16"/>
      <c r="I34" s="16"/>
      <c r="J34" s="16" t="s">
        <v>4</v>
      </c>
      <c r="K34" s="16"/>
      <c r="L34" s="16" t="s">
        <v>4</v>
      </c>
      <c r="M34" s="16" t="s">
        <v>4</v>
      </c>
      <c r="N34" s="20"/>
      <c r="O34" s="16" t="s">
        <v>4</v>
      </c>
      <c r="P34" s="16" t="s">
        <v>4</v>
      </c>
      <c r="Q34" s="16"/>
      <c r="R34" s="16" t="s">
        <v>4</v>
      </c>
      <c r="S34" s="16" t="s">
        <v>4</v>
      </c>
      <c r="T34" s="16" t="s">
        <v>4</v>
      </c>
      <c r="U34" s="16" t="s">
        <v>4</v>
      </c>
      <c r="V34" s="16" t="s">
        <v>4</v>
      </c>
      <c r="W34" s="16"/>
      <c r="X34" s="16" t="s">
        <v>4</v>
      </c>
      <c r="Y34" s="16" t="s">
        <v>4</v>
      </c>
      <c r="Z34" s="16" t="s">
        <v>4</v>
      </c>
      <c r="AA34" s="16"/>
      <c r="AB34" s="16" t="s">
        <v>4</v>
      </c>
      <c r="AC34" s="20"/>
      <c r="AD34" s="40"/>
      <c r="AE34" s="16"/>
      <c r="AF34" s="40"/>
      <c r="AG34" s="16"/>
      <c r="AH34" s="16"/>
      <c r="AI34" s="16"/>
      <c r="AJ34" s="16"/>
      <c r="AK34" s="16" t="s">
        <v>4</v>
      </c>
      <c r="AL34" s="16" t="s">
        <v>4</v>
      </c>
      <c r="AM34" s="16" t="s">
        <v>4</v>
      </c>
      <c r="AN34" s="16"/>
      <c r="AO34" s="16"/>
      <c r="AP34" s="16"/>
      <c r="AQ34" s="16" t="s">
        <v>4</v>
      </c>
      <c r="AR34" s="40"/>
      <c r="AS34" s="16"/>
      <c r="AT34" s="16"/>
      <c r="AV34" s="16" t="s">
        <v>4</v>
      </c>
      <c r="AW34" s="16"/>
      <c r="AX34" s="16"/>
      <c r="AY34" s="18"/>
      <c r="AZ34" s="16" t="s">
        <v>4</v>
      </c>
      <c r="BA34" s="16" t="s">
        <v>4</v>
      </c>
      <c r="BB34" s="16" t="s">
        <v>4</v>
      </c>
      <c r="BC34" s="16" t="s">
        <v>4</v>
      </c>
    </row>
    <row r="35">
      <c r="A35" s="15"/>
      <c r="B35" s="16" t="s">
        <v>37</v>
      </c>
      <c r="C35" s="17" t="s">
        <v>30</v>
      </c>
      <c r="D35" s="16" t="s">
        <v>4</v>
      </c>
      <c r="E35" s="16" t="s">
        <v>4</v>
      </c>
      <c r="F35" s="16" t="s">
        <v>4</v>
      </c>
      <c r="G35" s="16" t="s">
        <v>4</v>
      </c>
      <c r="H35" s="16" t="s">
        <v>4</v>
      </c>
      <c r="I35" s="16"/>
      <c r="J35" s="16" t="s">
        <v>4</v>
      </c>
      <c r="K35" s="16" t="s">
        <v>4</v>
      </c>
      <c r="L35" s="16" t="s">
        <v>4</v>
      </c>
      <c r="M35" s="16" t="s">
        <v>4</v>
      </c>
      <c r="N35" s="16" t="s">
        <v>4</v>
      </c>
      <c r="O35" s="16" t="s">
        <v>4</v>
      </c>
      <c r="P35" s="16" t="s">
        <v>4</v>
      </c>
      <c r="Q35" s="16" t="s">
        <v>4</v>
      </c>
      <c r="R35" s="16"/>
      <c r="S35" s="16" t="s">
        <v>4</v>
      </c>
      <c r="T35" s="16" t="s">
        <v>4</v>
      </c>
      <c r="U35" s="16" t="s">
        <v>4</v>
      </c>
      <c r="V35" s="16" t="s">
        <v>4</v>
      </c>
      <c r="W35" s="16" t="s">
        <v>4</v>
      </c>
      <c r="X35" s="16" t="s">
        <v>4</v>
      </c>
      <c r="Y35" s="16"/>
      <c r="Z35" s="20"/>
      <c r="AA35" s="16" t="s">
        <v>4</v>
      </c>
      <c r="AB35" s="16" t="s">
        <v>4</v>
      </c>
      <c r="AC35" s="16" t="s">
        <v>4</v>
      </c>
      <c r="AD35" s="40"/>
      <c r="AE35" s="16" t="s">
        <v>4</v>
      </c>
      <c r="AF35" s="40"/>
      <c r="AG35" s="16" t="s">
        <v>4</v>
      </c>
      <c r="AH35" s="16"/>
      <c r="AI35" s="16" t="s">
        <v>4</v>
      </c>
      <c r="AJ35" s="16" t="s">
        <v>4</v>
      </c>
      <c r="AK35" s="16" t="s">
        <v>4</v>
      </c>
      <c r="AL35" s="16" t="s">
        <v>4</v>
      </c>
      <c r="AM35" s="16" t="s">
        <v>4</v>
      </c>
      <c r="AN35" s="16" t="s">
        <v>4</v>
      </c>
      <c r="AO35" s="16" t="s">
        <v>4</v>
      </c>
      <c r="AP35" s="16" t="s">
        <v>4</v>
      </c>
      <c r="AQ35" s="16" t="s">
        <v>4</v>
      </c>
      <c r="AR35" s="40"/>
      <c r="AS35" s="16" t="s">
        <v>4</v>
      </c>
      <c r="AT35" s="16" t="s">
        <v>4</v>
      </c>
      <c r="AV35" s="16" t="s">
        <v>4</v>
      </c>
      <c r="AW35" s="16" t="s">
        <v>4</v>
      </c>
      <c r="AX35" s="16" t="s">
        <v>4</v>
      </c>
      <c r="AY35" s="18"/>
      <c r="AZ35" s="16" t="s">
        <v>4</v>
      </c>
      <c r="BA35" s="16" t="s">
        <v>4</v>
      </c>
      <c r="BB35" s="16" t="s">
        <v>4</v>
      </c>
      <c r="BC35" s="16" t="s">
        <v>4</v>
      </c>
    </row>
    <row r="36">
      <c r="A36" s="15"/>
      <c r="B36" s="16" t="s">
        <v>42</v>
      </c>
      <c r="C36" s="17" t="s">
        <v>30</v>
      </c>
      <c r="D36" s="16"/>
      <c r="E36" s="16"/>
      <c r="F36" s="16"/>
      <c r="G36" s="16" t="s">
        <v>4</v>
      </c>
      <c r="H36" s="16" t="s">
        <v>4</v>
      </c>
      <c r="I36" s="16" t="s">
        <v>4</v>
      </c>
      <c r="J36" s="16" t="s">
        <v>4</v>
      </c>
      <c r="K36" s="16" t="s">
        <v>4</v>
      </c>
      <c r="L36" s="16" t="s">
        <v>4</v>
      </c>
      <c r="M36" s="16" t="s">
        <v>4</v>
      </c>
      <c r="N36" s="16" t="s">
        <v>4</v>
      </c>
      <c r="O36" s="16" t="s">
        <v>4</v>
      </c>
      <c r="P36" s="16" t="s">
        <v>4</v>
      </c>
      <c r="Q36" s="16" t="s">
        <v>4</v>
      </c>
      <c r="R36" s="16" t="s">
        <v>4</v>
      </c>
      <c r="S36" s="16" t="s">
        <v>4</v>
      </c>
      <c r="T36" s="16" t="s">
        <v>4</v>
      </c>
      <c r="U36" s="16" t="s">
        <v>4</v>
      </c>
      <c r="V36" s="16" t="s">
        <v>4</v>
      </c>
      <c r="W36" s="16" t="s">
        <v>4</v>
      </c>
      <c r="X36" s="16" t="s">
        <v>4</v>
      </c>
      <c r="Y36" s="16" t="s">
        <v>4</v>
      </c>
      <c r="Z36" s="16" t="s">
        <v>4</v>
      </c>
      <c r="AA36" s="20"/>
      <c r="AB36" s="16" t="s">
        <v>4</v>
      </c>
      <c r="AC36" s="16" t="s">
        <v>4</v>
      </c>
      <c r="AD36" s="43"/>
      <c r="AE36" s="16" t="s">
        <v>4</v>
      </c>
      <c r="AF36" s="43"/>
      <c r="AG36" s="16" t="s">
        <v>4</v>
      </c>
      <c r="AH36" s="16" t="s">
        <v>4</v>
      </c>
      <c r="AI36" s="16" t="s">
        <v>4</v>
      </c>
      <c r="AJ36" s="16" t="s">
        <v>4</v>
      </c>
      <c r="AK36" s="16" t="s">
        <v>4</v>
      </c>
      <c r="AL36" s="16" t="s">
        <v>4</v>
      </c>
      <c r="AM36" s="16" t="s">
        <v>4</v>
      </c>
      <c r="AN36" s="16" t="s">
        <v>4</v>
      </c>
      <c r="AO36" s="16"/>
      <c r="AP36" s="16" t="s">
        <v>4</v>
      </c>
      <c r="AQ36" s="16" t="s">
        <v>4</v>
      </c>
      <c r="AR36" s="43"/>
      <c r="AS36" s="16" t="s">
        <v>4</v>
      </c>
      <c r="AT36" s="16" t="s">
        <v>4</v>
      </c>
      <c r="AV36" s="16" t="s">
        <v>4</v>
      </c>
      <c r="AW36" s="16" t="s">
        <v>4</v>
      </c>
      <c r="AX36" s="16" t="s">
        <v>4</v>
      </c>
      <c r="AY36" s="18"/>
      <c r="AZ36" s="16" t="s">
        <v>4</v>
      </c>
      <c r="BA36" s="16" t="s">
        <v>4</v>
      </c>
      <c r="BB36" s="16" t="s">
        <v>4</v>
      </c>
      <c r="BC36" s="16" t="s">
        <v>4</v>
      </c>
    </row>
    <row r="37">
      <c r="A37" s="15"/>
      <c r="B37" s="16"/>
      <c r="C37" s="17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20"/>
      <c r="AB37" s="16"/>
      <c r="AC37" s="16"/>
      <c r="AD37" s="43"/>
      <c r="AE37" s="16"/>
      <c r="AF37" s="43"/>
      <c r="AG37" s="20"/>
      <c r="AH37" s="20"/>
      <c r="AI37" s="20"/>
      <c r="AJ37" s="16"/>
      <c r="AK37" s="16"/>
      <c r="AL37" s="20"/>
      <c r="AM37" s="20"/>
      <c r="AN37" s="16"/>
      <c r="AO37" s="16"/>
      <c r="AP37" s="20"/>
      <c r="AQ37" s="16"/>
      <c r="AR37" s="43"/>
      <c r="AS37" s="20"/>
      <c r="AT37" s="16"/>
      <c r="AV37" s="16"/>
      <c r="AW37" s="16"/>
      <c r="AX37" s="16"/>
      <c r="AY37" s="18"/>
      <c r="AZ37" s="16"/>
      <c r="BA37" s="16"/>
      <c r="BB37" s="16"/>
      <c r="BC37" s="16"/>
    </row>
    <row r="38">
      <c r="A38" s="21"/>
      <c r="B38" s="95"/>
      <c r="C38" s="42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43"/>
      <c r="AE38" s="20"/>
      <c r="AF38" s="43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43"/>
      <c r="AS38" s="20"/>
      <c r="AT38" s="20"/>
      <c r="AV38" s="20"/>
      <c r="AW38" s="20"/>
      <c r="AX38" s="20"/>
      <c r="AY38" s="44"/>
      <c r="AZ38" s="20"/>
      <c r="BA38" s="20"/>
      <c r="BB38" s="20"/>
      <c r="BC38" s="20"/>
    </row>
    <row r="39">
      <c r="A39" s="96"/>
      <c r="B39" s="19" t="s">
        <v>52</v>
      </c>
      <c r="C39" s="17" t="s">
        <v>53</v>
      </c>
      <c r="D39" s="16" t="s">
        <v>4</v>
      </c>
      <c r="E39" s="16" t="s">
        <v>4</v>
      </c>
      <c r="F39" s="16" t="s">
        <v>4</v>
      </c>
      <c r="G39" s="16" t="s">
        <v>4</v>
      </c>
      <c r="H39" s="20"/>
      <c r="I39" s="20"/>
      <c r="J39" s="16" t="s">
        <v>4</v>
      </c>
      <c r="K39" s="16" t="s">
        <v>4</v>
      </c>
      <c r="L39" s="16" t="s">
        <v>4</v>
      </c>
      <c r="M39" s="16"/>
      <c r="N39" s="16" t="s">
        <v>4</v>
      </c>
      <c r="O39" s="16" t="s">
        <v>4</v>
      </c>
      <c r="P39" s="20"/>
      <c r="Q39" s="16"/>
      <c r="R39" s="16" t="s">
        <v>4</v>
      </c>
      <c r="S39" s="16"/>
      <c r="T39" s="20"/>
      <c r="U39" s="16" t="s">
        <v>4</v>
      </c>
      <c r="V39" s="16" t="s">
        <v>4</v>
      </c>
      <c r="W39" s="16" t="s">
        <v>4</v>
      </c>
      <c r="X39" s="16" t="s">
        <v>4</v>
      </c>
      <c r="Y39" s="20"/>
      <c r="Z39" s="16" t="s">
        <v>4</v>
      </c>
      <c r="AA39" s="20"/>
      <c r="AB39" s="16" t="s">
        <v>4</v>
      </c>
      <c r="AC39" s="16" t="s">
        <v>4</v>
      </c>
      <c r="AD39" s="40"/>
      <c r="AE39" s="16" t="s">
        <v>4</v>
      </c>
      <c r="AF39" s="43"/>
      <c r="AG39" s="16" t="s">
        <v>4</v>
      </c>
      <c r="AH39" s="16"/>
      <c r="AI39" s="16" t="s">
        <v>4</v>
      </c>
      <c r="AJ39" s="16"/>
      <c r="AK39" s="16" t="s">
        <v>4</v>
      </c>
      <c r="AL39" s="16"/>
      <c r="AM39" s="16" t="s">
        <v>4</v>
      </c>
      <c r="AN39" s="16" t="s">
        <v>4</v>
      </c>
      <c r="AO39" s="16" t="s">
        <v>4</v>
      </c>
      <c r="AP39" s="20"/>
      <c r="AQ39" s="20"/>
      <c r="AR39" s="40"/>
      <c r="AS39" s="16" t="s">
        <v>4</v>
      </c>
      <c r="AT39" s="16" t="s">
        <v>4</v>
      </c>
      <c r="AV39" s="20"/>
      <c r="AW39" s="20"/>
      <c r="AX39" s="20"/>
      <c r="AY39" s="44"/>
      <c r="AZ39" s="16" t="s">
        <v>4</v>
      </c>
      <c r="BA39" s="16" t="s">
        <v>4</v>
      </c>
      <c r="BB39" s="16" t="s">
        <v>4</v>
      </c>
      <c r="BC39" s="16" t="s">
        <v>4</v>
      </c>
    </row>
    <row r="40">
      <c r="A40" s="15"/>
      <c r="B40" s="19" t="s">
        <v>54</v>
      </c>
      <c r="C40" s="17" t="s">
        <v>53</v>
      </c>
      <c r="D40" s="16"/>
      <c r="E40" s="16" t="s">
        <v>4</v>
      </c>
      <c r="F40" s="16" t="s">
        <v>4</v>
      </c>
      <c r="G40" s="16"/>
      <c r="H40" s="16"/>
      <c r="I40" s="16" t="s">
        <v>4</v>
      </c>
      <c r="J40" s="16"/>
      <c r="K40" s="16"/>
      <c r="L40" s="16" t="s">
        <v>4</v>
      </c>
      <c r="M40" s="16" t="s">
        <v>4</v>
      </c>
      <c r="N40" s="16"/>
      <c r="O40" s="16" t="s">
        <v>4</v>
      </c>
      <c r="P40" s="16"/>
      <c r="Q40" s="16" t="s">
        <v>4</v>
      </c>
      <c r="R40" s="16"/>
      <c r="S40" s="16"/>
      <c r="T40" s="20"/>
      <c r="U40" s="16" t="s">
        <v>4</v>
      </c>
      <c r="V40" s="16" t="s">
        <v>4</v>
      </c>
      <c r="W40" s="16"/>
      <c r="X40" s="16"/>
      <c r="Y40" s="16" t="s">
        <v>4</v>
      </c>
      <c r="Z40" s="16" t="s">
        <v>4</v>
      </c>
      <c r="AA40" s="20"/>
      <c r="AB40" s="16" t="s">
        <v>4</v>
      </c>
      <c r="AC40" s="16"/>
      <c r="AD40" s="43"/>
      <c r="AE40" s="16" t="s">
        <v>4</v>
      </c>
      <c r="AF40" s="43"/>
      <c r="AG40" s="20"/>
      <c r="AH40" s="16"/>
      <c r="AI40" s="16" t="s">
        <v>4</v>
      </c>
      <c r="AJ40" s="20"/>
      <c r="AK40" s="16" t="s">
        <v>4</v>
      </c>
      <c r="AL40" s="20"/>
      <c r="AM40" s="20"/>
      <c r="AN40" s="20"/>
      <c r="AO40" s="16" t="s">
        <v>4</v>
      </c>
      <c r="AP40" s="20"/>
      <c r="AQ40" s="16" t="s">
        <v>4</v>
      </c>
      <c r="AR40" s="40"/>
      <c r="AS40" s="16" t="s">
        <v>4</v>
      </c>
      <c r="AT40" s="16"/>
      <c r="AV40" s="16" t="s">
        <v>4</v>
      </c>
      <c r="AW40" s="16" t="s">
        <v>4</v>
      </c>
      <c r="AX40" s="16" t="s">
        <v>4</v>
      </c>
      <c r="AY40" s="18"/>
      <c r="AZ40" s="16"/>
      <c r="BA40" s="16"/>
      <c r="BB40" s="16"/>
      <c r="BC40" s="16"/>
    </row>
    <row r="41">
      <c r="A41" s="15"/>
      <c r="B41" s="19" t="s">
        <v>55</v>
      </c>
      <c r="C41" s="17" t="s">
        <v>53</v>
      </c>
      <c r="D41" s="16" t="s">
        <v>4</v>
      </c>
      <c r="E41" s="16"/>
      <c r="F41" s="16" t="s">
        <v>4</v>
      </c>
      <c r="G41" s="16"/>
      <c r="H41" s="16" t="s">
        <v>4</v>
      </c>
      <c r="I41" s="16" t="s">
        <v>4</v>
      </c>
      <c r="J41" s="16"/>
      <c r="K41" s="16"/>
      <c r="L41" s="16" t="s">
        <v>4</v>
      </c>
      <c r="M41" s="16"/>
      <c r="N41" s="16"/>
      <c r="O41" s="20"/>
      <c r="P41" s="16"/>
      <c r="Q41" s="16" t="s">
        <v>4</v>
      </c>
      <c r="R41" s="16"/>
      <c r="S41" s="16"/>
      <c r="T41" s="16" t="s">
        <v>4</v>
      </c>
      <c r="U41" s="16"/>
      <c r="V41" s="16" t="s">
        <v>4</v>
      </c>
      <c r="W41" s="16"/>
      <c r="X41" s="16" t="s">
        <v>4</v>
      </c>
      <c r="Y41" s="16"/>
      <c r="Z41" s="16" t="s">
        <v>4</v>
      </c>
      <c r="AA41" s="16"/>
      <c r="AB41" s="16"/>
      <c r="AC41" s="16" t="s">
        <v>4</v>
      </c>
      <c r="AD41" s="40"/>
      <c r="AE41" s="16"/>
      <c r="AF41" s="40"/>
      <c r="AG41" s="16" t="s">
        <v>4</v>
      </c>
      <c r="AH41" s="16"/>
      <c r="AI41" s="16"/>
      <c r="AJ41" s="16" t="s">
        <v>4</v>
      </c>
      <c r="AK41" s="16"/>
      <c r="AL41" s="16" t="s">
        <v>4</v>
      </c>
      <c r="AM41" s="16"/>
      <c r="AN41" s="16" t="s">
        <v>4</v>
      </c>
      <c r="AO41" s="16"/>
      <c r="AP41" s="16" t="s">
        <v>4</v>
      </c>
      <c r="AQ41" s="16"/>
      <c r="AR41" s="40"/>
      <c r="AS41" s="16"/>
      <c r="AT41" s="16" t="s">
        <v>4</v>
      </c>
      <c r="AV41" s="16" t="s">
        <v>4</v>
      </c>
      <c r="AW41" s="16"/>
      <c r="AX41" s="16"/>
      <c r="AY41" s="18"/>
      <c r="AZ41" s="16"/>
      <c r="BA41" s="16"/>
      <c r="BB41" s="16"/>
      <c r="BC41" s="16"/>
    </row>
    <row r="42">
      <c r="A42" s="15"/>
      <c r="B42" s="16" t="s">
        <v>56</v>
      </c>
      <c r="C42" s="17" t="s">
        <v>53</v>
      </c>
      <c r="D42" s="16"/>
      <c r="E42" s="16" t="s">
        <v>4</v>
      </c>
      <c r="F42" s="16"/>
      <c r="G42" s="16"/>
      <c r="H42" s="16"/>
      <c r="I42" s="16" t="s">
        <v>4</v>
      </c>
      <c r="J42" s="16"/>
      <c r="K42" s="16"/>
      <c r="L42" s="16"/>
      <c r="M42" s="16"/>
      <c r="N42" s="16"/>
      <c r="O42" s="20"/>
      <c r="P42" s="16"/>
      <c r="Q42" s="16" t="s">
        <v>4</v>
      </c>
      <c r="R42" s="16"/>
      <c r="S42" s="16" t="s">
        <v>4</v>
      </c>
      <c r="T42" s="16"/>
      <c r="U42" s="16"/>
      <c r="V42" s="16"/>
      <c r="W42" s="16"/>
      <c r="X42" s="16"/>
      <c r="Y42" s="16"/>
      <c r="Z42" s="16" t="s">
        <v>4</v>
      </c>
      <c r="AA42" s="16"/>
      <c r="AB42" s="16"/>
      <c r="AC42" s="16"/>
      <c r="AD42" s="40"/>
      <c r="AE42" s="16"/>
      <c r="AF42" s="40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40"/>
      <c r="AS42" s="16"/>
      <c r="AT42" s="16"/>
      <c r="AV42" s="16"/>
      <c r="AW42" s="16"/>
      <c r="AX42" s="16"/>
      <c r="AY42" s="18"/>
      <c r="AZ42" s="16"/>
      <c r="BA42" s="16"/>
      <c r="BB42" s="16"/>
      <c r="BC42" s="16"/>
    </row>
    <row r="43">
      <c r="A43" s="15"/>
      <c r="B43" s="16" t="s">
        <v>38</v>
      </c>
      <c r="C43" s="17" t="s">
        <v>30</v>
      </c>
      <c r="D43" s="16" t="s">
        <v>4</v>
      </c>
      <c r="E43" s="16"/>
      <c r="F43" s="16"/>
      <c r="G43" s="16" t="s">
        <v>4</v>
      </c>
      <c r="H43" s="16"/>
      <c r="I43" s="16"/>
      <c r="J43" s="16"/>
      <c r="K43" s="16" t="s">
        <v>4</v>
      </c>
      <c r="L43" s="16"/>
      <c r="M43" s="16"/>
      <c r="N43" s="16" t="s">
        <v>4</v>
      </c>
      <c r="O43" s="20"/>
      <c r="P43" s="16" t="s">
        <v>4</v>
      </c>
      <c r="Q43" s="16" t="s">
        <v>4</v>
      </c>
      <c r="R43" s="16"/>
      <c r="S43" s="16" t="s">
        <v>4</v>
      </c>
      <c r="T43" s="16" t="s">
        <v>4</v>
      </c>
      <c r="U43" s="16"/>
      <c r="V43" s="16"/>
      <c r="W43" s="16"/>
      <c r="X43" s="16"/>
      <c r="Y43" s="16"/>
      <c r="Z43" s="20"/>
      <c r="AA43" s="16" t="s">
        <v>4</v>
      </c>
      <c r="AB43" s="16" t="s">
        <v>4</v>
      </c>
      <c r="AC43" s="16" t="s">
        <v>4</v>
      </c>
      <c r="AD43" s="40"/>
      <c r="AE43" s="16"/>
      <c r="AF43" s="40"/>
      <c r="AG43" s="16" t="s">
        <v>4</v>
      </c>
      <c r="AH43" s="16"/>
      <c r="AI43" s="16"/>
      <c r="AJ43" s="16"/>
      <c r="AK43" s="16"/>
      <c r="AL43" s="16" t="s">
        <v>4</v>
      </c>
      <c r="AM43" s="16" t="s">
        <v>4</v>
      </c>
      <c r="AN43" s="16"/>
      <c r="AO43" s="16"/>
      <c r="AP43" s="16"/>
      <c r="AQ43" s="16"/>
      <c r="AR43" s="40"/>
      <c r="AS43" s="16"/>
      <c r="AT43" s="16" t="s">
        <v>4</v>
      </c>
      <c r="AV43" s="16" t="s">
        <v>4</v>
      </c>
      <c r="AW43" s="16"/>
      <c r="AX43" s="16"/>
      <c r="AY43" s="18"/>
      <c r="AZ43" s="16"/>
      <c r="BA43" s="16"/>
      <c r="BB43" s="16"/>
      <c r="BC43" s="16"/>
    </row>
    <row r="44">
      <c r="A44" s="15"/>
      <c r="B44" s="19" t="s">
        <v>119</v>
      </c>
      <c r="C44" s="17" t="s">
        <v>30</v>
      </c>
      <c r="D44" s="16"/>
      <c r="E44" s="20"/>
      <c r="F44" s="16" t="s">
        <v>4</v>
      </c>
      <c r="G44" s="16" t="s">
        <v>4</v>
      </c>
      <c r="H44" s="16" t="s">
        <v>4</v>
      </c>
      <c r="I44" s="16" t="s">
        <v>4</v>
      </c>
      <c r="J44" s="16"/>
      <c r="K44" s="16" t="s">
        <v>4</v>
      </c>
      <c r="L44" s="20"/>
      <c r="M44" s="16" t="s">
        <v>4</v>
      </c>
      <c r="N44" s="16"/>
      <c r="O44" s="16" t="s">
        <v>4</v>
      </c>
      <c r="P44" s="16" t="s">
        <v>4</v>
      </c>
      <c r="Q44" s="16" t="s">
        <v>4</v>
      </c>
      <c r="R44" s="16" t="s">
        <v>4</v>
      </c>
      <c r="S44" s="16" t="s">
        <v>4</v>
      </c>
      <c r="T44" s="16" t="s">
        <v>4</v>
      </c>
      <c r="U44" s="16" t="s">
        <v>4</v>
      </c>
      <c r="V44" s="16" t="s">
        <v>4</v>
      </c>
      <c r="W44" s="16" t="s">
        <v>4</v>
      </c>
      <c r="X44" s="16" t="s">
        <v>4</v>
      </c>
      <c r="Y44" s="16" t="s">
        <v>4</v>
      </c>
      <c r="Z44" s="16" t="s">
        <v>4</v>
      </c>
      <c r="AA44" s="16" t="s">
        <v>4</v>
      </c>
      <c r="AB44" s="16" t="s">
        <v>4</v>
      </c>
      <c r="AC44" s="16" t="s">
        <v>4</v>
      </c>
      <c r="AD44" s="43"/>
      <c r="AE44" s="16" t="s">
        <v>4</v>
      </c>
      <c r="AF44" s="43"/>
      <c r="AG44" s="16" t="s">
        <v>4</v>
      </c>
      <c r="AH44" s="16" t="s">
        <v>4</v>
      </c>
      <c r="AI44" s="16" t="s">
        <v>4</v>
      </c>
      <c r="AJ44" s="16" t="s">
        <v>4</v>
      </c>
      <c r="AK44" s="16" t="s">
        <v>4</v>
      </c>
      <c r="AL44" s="16" t="s">
        <v>4</v>
      </c>
      <c r="AM44" s="16" t="s">
        <v>4</v>
      </c>
      <c r="AN44" s="16" t="s">
        <v>4</v>
      </c>
      <c r="AO44" s="16" t="s">
        <v>4</v>
      </c>
      <c r="AP44" s="16" t="s">
        <v>4</v>
      </c>
      <c r="AQ44" s="16" t="s">
        <v>4</v>
      </c>
      <c r="AR44" s="43"/>
      <c r="AS44" s="16" t="s">
        <v>4</v>
      </c>
      <c r="AT44" s="16" t="s">
        <v>4</v>
      </c>
      <c r="AV44" s="16" t="s">
        <v>4</v>
      </c>
      <c r="AW44" s="16" t="s">
        <v>4</v>
      </c>
      <c r="AX44" s="16" t="s">
        <v>4</v>
      </c>
      <c r="AY44" s="44"/>
      <c r="AZ44" s="16" t="s">
        <v>4</v>
      </c>
      <c r="BA44" s="16" t="s">
        <v>4</v>
      </c>
      <c r="BB44" s="16" t="s">
        <v>4</v>
      </c>
      <c r="BC44" s="16" t="s">
        <v>4</v>
      </c>
    </row>
    <row r="45">
      <c r="A45" s="15"/>
      <c r="B45" s="16" t="s">
        <v>120</v>
      </c>
      <c r="C45" s="17" t="s">
        <v>30</v>
      </c>
      <c r="D45" s="16"/>
      <c r="E45" s="20"/>
      <c r="F45" s="16" t="s">
        <v>4</v>
      </c>
      <c r="G45" s="16" t="s">
        <v>4</v>
      </c>
      <c r="H45" s="16" t="s">
        <v>4</v>
      </c>
      <c r="I45" s="16" t="s">
        <v>4</v>
      </c>
      <c r="J45" s="20"/>
      <c r="K45" s="16" t="s">
        <v>4</v>
      </c>
      <c r="L45" s="16"/>
      <c r="M45" s="16" t="s">
        <v>4</v>
      </c>
      <c r="N45" s="16"/>
      <c r="O45" s="16" t="s">
        <v>4</v>
      </c>
      <c r="P45" s="16" t="s">
        <v>4</v>
      </c>
      <c r="Q45" s="16" t="s">
        <v>4</v>
      </c>
      <c r="R45" s="16" t="s">
        <v>4</v>
      </c>
      <c r="S45" s="16" t="s">
        <v>4</v>
      </c>
      <c r="T45" s="16" t="s">
        <v>4</v>
      </c>
      <c r="U45" s="16" t="s">
        <v>4</v>
      </c>
      <c r="V45" s="16" t="s">
        <v>4</v>
      </c>
      <c r="W45" s="16" t="s">
        <v>4</v>
      </c>
      <c r="X45" s="16" t="s">
        <v>4</v>
      </c>
      <c r="Y45" s="16" t="s">
        <v>4</v>
      </c>
      <c r="Z45" s="16" t="s">
        <v>4</v>
      </c>
      <c r="AA45" s="16" t="s">
        <v>4</v>
      </c>
      <c r="AB45" s="16" t="s">
        <v>4</v>
      </c>
      <c r="AC45" s="16" t="s">
        <v>4</v>
      </c>
      <c r="AD45" s="40"/>
      <c r="AE45" s="16" t="s">
        <v>4</v>
      </c>
      <c r="AF45" s="40"/>
      <c r="AG45" s="16" t="s">
        <v>4</v>
      </c>
      <c r="AH45" s="16" t="s">
        <v>4</v>
      </c>
      <c r="AI45" s="16" t="s">
        <v>4</v>
      </c>
      <c r="AJ45" s="16" t="s">
        <v>4</v>
      </c>
      <c r="AK45" s="16" t="s">
        <v>4</v>
      </c>
      <c r="AL45" s="16" t="s">
        <v>4</v>
      </c>
      <c r="AM45" s="16" t="s">
        <v>4</v>
      </c>
      <c r="AN45" s="16" t="s">
        <v>4</v>
      </c>
      <c r="AO45" s="16" t="s">
        <v>4</v>
      </c>
      <c r="AP45" s="16" t="s">
        <v>4</v>
      </c>
      <c r="AQ45" s="16" t="s">
        <v>4</v>
      </c>
      <c r="AR45" s="40"/>
      <c r="AS45" s="16" t="s">
        <v>4</v>
      </c>
      <c r="AT45" s="16" t="s">
        <v>4</v>
      </c>
      <c r="AV45" s="16" t="s">
        <v>4</v>
      </c>
      <c r="AW45" s="16" t="s">
        <v>4</v>
      </c>
      <c r="AX45" s="16" t="s">
        <v>4</v>
      </c>
      <c r="AY45" s="18"/>
      <c r="AZ45" s="16" t="s">
        <v>4</v>
      </c>
      <c r="BA45" s="16" t="s">
        <v>4</v>
      </c>
      <c r="BB45" s="16" t="s">
        <v>4</v>
      </c>
      <c r="BC45" s="16" t="s">
        <v>4</v>
      </c>
    </row>
    <row r="46">
      <c r="A46" s="15"/>
      <c r="B46" s="16" t="s">
        <v>57</v>
      </c>
      <c r="C46" s="17" t="s">
        <v>58</v>
      </c>
      <c r="D46" s="16"/>
      <c r="E46" s="20"/>
      <c r="F46" s="20"/>
      <c r="G46" s="20"/>
      <c r="H46" s="16"/>
      <c r="I46" s="20"/>
      <c r="J46" s="20"/>
      <c r="K46" s="20"/>
      <c r="L46" s="16" t="s">
        <v>4</v>
      </c>
      <c r="M46" s="20"/>
      <c r="N46" s="20"/>
      <c r="O46" s="20"/>
      <c r="P46" s="20"/>
      <c r="Q46" s="20"/>
      <c r="R46" s="20"/>
      <c r="S46" s="20"/>
      <c r="T46" s="20"/>
      <c r="U46" s="16" t="s">
        <v>4</v>
      </c>
      <c r="V46" s="20"/>
      <c r="W46" s="16" t="s">
        <v>4</v>
      </c>
      <c r="X46" s="20"/>
      <c r="Y46" s="16"/>
      <c r="Z46" s="20"/>
      <c r="AA46" s="16"/>
      <c r="AB46" s="16"/>
      <c r="AC46" s="16"/>
      <c r="AD46" s="40"/>
      <c r="AE46" s="16"/>
      <c r="AF46" s="40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40"/>
      <c r="AS46" s="16"/>
      <c r="AT46" s="16"/>
      <c r="AV46" s="16"/>
      <c r="AW46" s="16"/>
      <c r="AX46" s="16"/>
      <c r="AY46" s="18"/>
      <c r="AZ46" s="16"/>
      <c r="BA46" s="16"/>
      <c r="BB46" s="16"/>
      <c r="BC46" s="16"/>
    </row>
    <row r="47">
      <c r="A47" s="15"/>
      <c r="B47" s="16" t="s">
        <v>121</v>
      </c>
      <c r="C47" s="17" t="s">
        <v>53</v>
      </c>
      <c r="D47" s="16" t="s">
        <v>4</v>
      </c>
      <c r="E47" s="20"/>
      <c r="F47" s="20"/>
      <c r="G47" s="20"/>
      <c r="H47" s="16" t="s">
        <v>4</v>
      </c>
      <c r="I47" s="20"/>
      <c r="J47" s="20"/>
      <c r="K47" s="20"/>
      <c r="L47" s="16" t="s">
        <v>4</v>
      </c>
      <c r="M47" s="20"/>
      <c r="N47" s="20"/>
      <c r="O47" s="20"/>
      <c r="P47" s="20"/>
      <c r="Q47" s="20"/>
      <c r="R47" s="20"/>
      <c r="S47" s="16" t="s">
        <v>4</v>
      </c>
      <c r="T47" s="16" t="s">
        <v>4</v>
      </c>
      <c r="U47" s="16" t="s">
        <v>4</v>
      </c>
      <c r="V47" s="20"/>
      <c r="W47" s="16" t="s">
        <v>4</v>
      </c>
      <c r="X47" s="16" t="s">
        <v>4</v>
      </c>
      <c r="Y47" s="16"/>
      <c r="Z47" s="20"/>
      <c r="AA47" s="16"/>
      <c r="AB47" s="16"/>
      <c r="AC47" s="16"/>
      <c r="AD47" s="40"/>
      <c r="AE47" s="16"/>
      <c r="AF47" s="40"/>
      <c r="AG47" s="16" t="s">
        <v>4</v>
      </c>
      <c r="AH47" s="16"/>
      <c r="AI47" s="16"/>
      <c r="AJ47" s="16"/>
      <c r="AK47" s="16" t="s">
        <v>4</v>
      </c>
      <c r="AL47" s="16"/>
      <c r="AM47" s="16" t="s">
        <v>4</v>
      </c>
      <c r="AN47" s="16"/>
      <c r="AO47" s="16"/>
      <c r="AP47" s="16" t="s">
        <v>4</v>
      </c>
      <c r="AQ47" s="16"/>
      <c r="AR47" s="40"/>
      <c r="AS47" s="16" t="s">
        <v>4</v>
      </c>
      <c r="AT47" s="16" t="s">
        <v>4</v>
      </c>
      <c r="AV47" s="16"/>
      <c r="AW47" s="16"/>
      <c r="AX47" s="16"/>
      <c r="AY47" s="18"/>
      <c r="AZ47" s="16"/>
      <c r="BA47" s="16"/>
      <c r="BB47" s="16"/>
      <c r="BC47" s="16"/>
    </row>
    <row r="48">
      <c r="A48" s="15"/>
      <c r="B48" s="16" t="s">
        <v>60</v>
      </c>
      <c r="C48" s="17" t="s">
        <v>58</v>
      </c>
      <c r="D48" s="16"/>
      <c r="E48" s="20"/>
      <c r="F48" s="20"/>
      <c r="G48" s="20"/>
      <c r="H48" s="16"/>
      <c r="I48" s="20"/>
      <c r="J48" s="20"/>
      <c r="K48" s="20"/>
      <c r="L48" s="16"/>
      <c r="M48" s="20"/>
      <c r="N48" s="20"/>
      <c r="O48" s="20"/>
      <c r="P48" s="20"/>
      <c r="Q48" s="20"/>
      <c r="R48" s="20"/>
      <c r="S48" s="16"/>
      <c r="T48" s="16"/>
      <c r="U48" s="16"/>
      <c r="V48" s="20"/>
      <c r="W48" s="16"/>
      <c r="X48" s="16"/>
      <c r="Y48" s="16"/>
      <c r="Z48" s="20"/>
      <c r="AA48" s="16"/>
      <c r="AB48" s="16"/>
      <c r="AC48" s="16"/>
      <c r="AD48" s="40"/>
      <c r="AE48" s="16"/>
      <c r="AF48" s="40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40"/>
      <c r="AS48" s="16"/>
      <c r="AT48" s="16" t="s">
        <v>4</v>
      </c>
      <c r="AV48" s="16"/>
      <c r="AW48" s="16"/>
      <c r="AX48" s="16"/>
      <c r="AY48" s="18"/>
      <c r="AZ48" s="16"/>
      <c r="BA48" s="16"/>
      <c r="BB48" s="16"/>
      <c r="BC48" s="16"/>
    </row>
    <row r="49">
      <c r="A49" s="15"/>
      <c r="B49" s="16" t="s">
        <v>61</v>
      </c>
      <c r="C49" s="17" t="s">
        <v>53</v>
      </c>
      <c r="D49" s="16"/>
      <c r="E49" s="20"/>
      <c r="F49" s="20"/>
      <c r="G49" s="20"/>
      <c r="H49" s="16"/>
      <c r="I49" s="20"/>
      <c r="J49" s="20"/>
      <c r="K49" s="20"/>
      <c r="L49" s="16"/>
      <c r="M49" s="20"/>
      <c r="N49" s="20"/>
      <c r="O49" s="16" t="s">
        <v>4</v>
      </c>
      <c r="P49" s="20"/>
      <c r="Q49" s="20"/>
      <c r="R49" s="20"/>
      <c r="S49" s="20"/>
      <c r="T49" s="20"/>
      <c r="U49" s="20"/>
      <c r="V49" s="20"/>
      <c r="W49" s="20"/>
      <c r="X49" s="20"/>
      <c r="Y49" s="16" t="s">
        <v>4</v>
      </c>
      <c r="Z49" s="20"/>
      <c r="AA49" s="16" t="s">
        <v>4</v>
      </c>
      <c r="AB49" s="16"/>
      <c r="AC49" s="16"/>
      <c r="AD49" s="40"/>
      <c r="AE49" s="16"/>
      <c r="AF49" s="40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40"/>
      <c r="AS49" s="16"/>
      <c r="AT49" s="16"/>
      <c r="AV49" s="16"/>
      <c r="AW49" s="16"/>
      <c r="AX49" s="16"/>
      <c r="AY49" s="18"/>
      <c r="AZ49" s="16"/>
      <c r="BA49" s="16"/>
      <c r="BB49" s="16"/>
      <c r="BC49" s="16"/>
    </row>
    <row r="50">
      <c r="A50" s="15"/>
      <c r="B50" s="16" t="s">
        <v>62</v>
      </c>
      <c r="C50" s="17" t="s">
        <v>53</v>
      </c>
      <c r="D50" s="16"/>
      <c r="E50" s="20"/>
      <c r="F50" s="20"/>
      <c r="G50" s="20"/>
      <c r="H50" s="16"/>
      <c r="I50" s="20"/>
      <c r="J50" s="20"/>
      <c r="K50" s="20"/>
      <c r="L50" s="16"/>
      <c r="M50" s="20"/>
      <c r="N50" s="20"/>
      <c r="O50" s="16" t="s">
        <v>4</v>
      </c>
      <c r="P50" s="20"/>
      <c r="Q50" s="20"/>
      <c r="R50" s="20"/>
      <c r="S50" s="20"/>
      <c r="T50" s="20"/>
      <c r="U50" s="20"/>
      <c r="V50" s="20"/>
      <c r="W50" s="20"/>
      <c r="X50" s="20"/>
      <c r="Y50" s="16" t="s">
        <v>4</v>
      </c>
      <c r="Z50" s="20"/>
      <c r="AA50" s="16" t="s">
        <v>4</v>
      </c>
      <c r="AB50" s="16"/>
      <c r="AC50" s="16"/>
      <c r="AD50" s="40"/>
      <c r="AE50" s="16"/>
      <c r="AF50" s="40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40"/>
      <c r="AS50" s="16"/>
      <c r="AT50" s="16"/>
      <c r="AV50" s="16"/>
      <c r="AW50" s="16"/>
      <c r="AX50" s="16"/>
      <c r="AY50" s="18"/>
      <c r="AZ50" s="16"/>
      <c r="BA50" s="16"/>
      <c r="BB50" s="16"/>
      <c r="BC50" s="16"/>
    </row>
    <row r="51">
      <c r="A51" s="15"/>
      <c r="B51" s="16" t="s">
        <v>63</v>
      </c>
      <c r="C51" s="17" t="s">
        <v>53</v>
      </c>
      <c r="D51" s="16"/>
      <c r="E51" s="20"/>
      <c r="F51" s="20"/>
      <c r="G51" s="20"/>
      <c r="H51" s="16"/>
      <c r="I51" s="20"/>
      <c r="J51" s="20"/>
      <c r="K51" s="20"/>
      <c r="L51" s="16"/>
      <c r="M51" s="20"/>
      <c r="N51" s="20"/>
      <c r="O51" s="16" t="s">
        <v>4</v>
      </c>
      <c r="P51" s="16" t="s">
        <v>4</v>
      </c>
      <c r="Q51" s="20"/>
      <c r="R51" s="16" t="s">
        <v>4</v>
      </c>
      <c r="S51" s="16" t="s">
        <v>4</v>
      </c>
      <c r="T51" s="16" t="s">
        <v>4</v>
      </c>
      <c r="U51" s="16" t="s">
        <v>4</v>
      </c>
      <c r="V51" s="16" t="s">
        <v>4</v>
      </c>
      <c r="W51" s="16" t="s">
        <v>4</v>
      </c>
      <c r="X51" s="20"/>
      <c r="Y51" s="16" t="s">
        <v>4</v>
      </c>
      <c r="Z51" s="16" t="s">
        <v>4</v>
      </c>
      <c r="AA51" s="16" t="s">
        <v>4</v>
      </c>
      <c r="AB51" s="16"/>
      <c r="AC51" s="16"/>
      <c r="AD51" s="40"/>
      <c r="AE51" s="16" t="s">
        <v>4</v>
      </c>
      <c r="AF51" s="40"/>
      <c r="AG51" s="16"/>
      <c r="AH51" s="16" t="s">
        <v>4</v>
      </c>
      <c r="AI51" s="16"/>
      <c r="AJ51" s="16" t="s">
        <v>4</v>
      </c>
      <c r="AK51" s="16"/>
      <c r="AL51" s="16"/>
      <c r="AM51" s="16" t="s">
        <v>4</v>
      </c>
      <c r="AN51" s="16"/>
      <c r="AO51" s="16" t="s">
        <v>4</v>
      </c>
      <c r="AP51" s="16" t="s">
        <v>4</v>
      </c>
      <c r="AQ51" s="16"/>
      <c r="AR51" s="40"/>
      <c r="AS51" s="16"/>
      <c r="AT51" s="16"/>
      <c r="AV51" s="16" t="s">
        <v>4</v>
      </c>
      <c r="AW51" s="16"/>
      <c r="AX51" s="16"/>
      <c r="AY51" s="18"/>
      <c r="AZ51" s="16"/>
      <c r="BA51" s="16"/>
      <c r="BB51" s="16"/>
      <c r="BC51" s="16"/>
    </row>
    <row r="52">
      <c r="A52" s="15"/>
      <c r="B52" s="16" t="s">
        <v>122</v>
      </c>
      <c r="C52" s="17" t="s">
        <v>53</v>
      </c>
      <c r="D52" s="16"/>
      <c r="E52" s="20"/>
      <c r="F52" s="20"/>
      <c r="G52" s="20"/>
      <c r="H52" s="16"/>
      <c r="I52" s="20"/>
      <c r="J52" s="20"/>
      <c r="K52" s="20"/>
      <c r="L52" s="16"/>
      <c r="M52" s="20"/>
      <c r="N52" s="20"/>
      <c r="O52" s="16" t="s">
        <v>4</v>
      </c>
      <c r="P52" s="16" t="s">
        <v>4</v>
      </c>
      <c r="Q52" s="20"/>
      <c r="R52" s="16" t="s">
        <v>4</v>
      </c>
      <c r="S52" s="16" t="s">
        <v>4</v>
      </c>
      <c r="T52" s="16" t="s">
        <v>4</v>
      </c>
      <c r="U52" s="16" t="s">
        <v>4</v>
      </c>
      <c r="V52" s="16" t="s">
        <v>4</v>
      </c>
      <c r="W52" s="20"/>
      <c r="X52" s="16" t="s">
        <v>4</v>
      </c>
      <c r="Y52" s="16" t="s">
        <v>4</v>
      </c>
      <c r="Z52" s="16" t="s">
        <v>4</v>
      </c>
      <c r="AA52" s="16"/>
      <c r="AB52" s="16" t="s">
        <v>4</v>
      </c>
      <c r="AC52" s="16" t="s">
        <v>4</v>
      </c>
      <c r="AD52" s="40"/>
      <c r="AE52" s="16" t="s">
        <v>4</v>
      </c>
      <c r="AF52" s="40"/>
      <c r="AG52" s="16" t="s">
        <v>4</v>
      </c>
      <c r="AH52" s="16" t="s">
        <v>4</v>
      </c>
      <c r="AI52" s="16" t="s">
        <v>4</v>
      </c>
      <c r="AJ52" s="16" t="s">
        <v>4</v>
      </c>
      <c r="AK52" s="16" t="s">
        <v>4</v>
      </c>
      <c r="AL52" s="16" t="s">
        <v>4</v>
      </c>
      <c r="AM52" s="16" t="s">
        <v>4</v>
      </c>
      <c r="AN52" s="16" t="s">
        <v>4</v>
      </c>
      <c r="AO52" s="16" t="s">
        <v>4</v>
      </c>
      <c r="AP52" s="16" t="s">
        <v>4</v>
      </c>
      <c r="AQ52" s="16" t="s">
        <v>4</v>
      </c>
      <c r="AR52" s="40"/>
      <c r="AS52" s="16" t="s">
        <v>4</v>
      </c>
      <c r="AT52" s="16" t="s">
        <v>4</v>
      </c>
      <c r="AV52" s="16" t="s">
        <v>4</v>
      </c>
      <c r="AW52" s="16" t="s">
        <v>4</v>
      </c>
      <c r="AX52" s="16" t="s">
        <v>4</v>
      </c>
      <c r="AY52" s="18"/>
      <c r="AZ52" s="16" t="s">
        <v>4</v>
      </c>
      <c r="BA52" s="16" t="s">
        <v>4</v>
      </c>
      <c r="BB52" s="16" t="s">
        <v>4</v>
      </c>
      <c r="BC52" s="16" t="s">
        <v>4</v>
      </c>
    </row>
    <row r="53">
      <c r="A53" s="15"/>
      <c r="B53" s="16" t="s">
        <v>123</v>
      </c>
      <c r="C53" s="17" t="s">
        <v>53</v>
      </c>
      <c r="D53" s="16"/>
      <c r="E53" s="20"/>
      <c r="F53" s="20"/>
      <c r="G53" s="20"/>
      <c r="H53" s="16"/>
      <c r="I53" s="20"/>
      <c r="J53" s="20"/>
      <c r="K53" s="20"/>
      <c r="L53" s="16"/>
      <c r="M53" s="20"/>
      <c r="N53" s="20"/>
      <c r="O53" s="16"/>
      <c r="P53" s="16"/>
      <c r="Q53" s="20"/>
      <c r="R53" s="16"/>
      <c r="S53" s="16"/>
      <c r="T53" s="16"/>
      <c r="U53" s="16"/>
      <c r="V53" s="16" t="s">
        <v>4</v>
      </c>
      <c r="W53" s="16" t="s">
        <v>4</v>
      </c>
      <c r="X53" s="20"/>
      <c r="Y53" s="16"/>
      <c r="Z53" s="20"/>
      <c r="AA53" s="16"/>
      <c r="AB53" s="16"/>
      <c r="AC53" s="16"/>
      <c r="AD53" s="40"/>
      <c r="AE53" s="16"/>
      <c r="AF53" s="40"/>
      <c r="AG53" s="16"/>
      <c r="AH53" s="16" t="s">
        <v>4</v>
      </c>
      <c r="AI53" s="16"/>
      <c r="AJ53" s="16"/>
      <c r="AK53" s="16"/>
      <c r="AL53" s="16"/>
      <c r="AM53" s="16"/>
      <c r="AN53" s="16"/>
      <c r="AO53" s="16"/>
      <c r="AP53" s="16"/>
      <c r="AQ53" s="16"/>
      <c r="AR53" s="40"/>
      <c r="AS53" s="16"/>
      <c r="AT53" s="16"/>
      <c r="AV53" s="16"/>
      <c r="AW53" s="16"/>
      <c r="AX53" s="16"/>
      <c r="AY53" s="18"/>
      <c r="AZ53" s="16"/>
      <c r="BA53" s="16"/>
      <c r="BB53" s="16"/>
      <c r="BC53" s="16"/>
    </row>
    <row r="54">
      <c r="A54" s="15"/>
      <c r="B54" s="16" t="s">
        <v>124</v>
      </c>
      <c r="C54" s="17" t="s">
        <v>58</v>
      </c>
      <c r="D54" s="16"/>
      <c r="E54" s="20"/>
      <c r="F54" s="20"/>
      <c r="G54" s="20"/>
      <c r="H54" s="16"/>
      <c r="I54" s="20"/>
      <c r="J54" s="20"/>
      <c r="K54" s="20"/>
      <c r="L54" s="16"/>
      <c r="M54" s="20"/>
      <c r="N54" s="20"/>
      <c r="O54" s="16"/>
      <c r="P54" s="16"/>
      <c r="Q54" s="20"/>
      <c r="R54" s="16"/>
      <c r="S54" s="16"/>
      <c r="T54" s="16"/>
      <c r="U54" s="16"/>
      <c r="V54" s="16" t="s">
        <v>4</v>
      </c>
      <c r="W54" s="20"/>
      <c r="X54" s="20"/>
      <c r="Y54" s="16"/>
      <c r="Z54" s="20"/>
      <c r="AA54" s="16"/>
      <c r="AB54" s="16"/>
      <c r="AC54" s="16"/>
      <c r="AD54" s="40"/>
      <c r="AE54" s="16"/>
      <c r="AF54" s="40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40"/>
      <c r="AS54" s="16"/>
      <c r="AT54" s="16"/>
      <c r="AV54" s="16"/>
      <c r="AW54" s="16"/>
      <c r="AX54" s="16"/>
      <c r="AY54" s="18"/>
      <c r="AZ54" s="16"/>
      <c r="BA54" s="16"/>
      <c r="BB54" s="16"/>
      <c r="BC54" s="16"/>
    </row>
    <row r="55">
      <c r="A55" s="15"/>
      <c r="B55" s="16" t="s">
        <v>125</v>
      </c>
      <c r="C55" s="17" t="s">
        <v>53</v>
      </c>
      <c r="D55" s="16"/>
      <c r="E55" s="20"/>
      <c r="F55" s="20"/>
      <c r="G55" s="20"/>
      <c r="H55" s="16"/>
      <c r="I55" s="20"/>
      <c r="J55" s="20"/>
      <c r="K55" s="20"/>
      <c r="L55" s="16"/>
      <c r="M55" s="20"/>
      <c r="N55" s="20"/>
      <c r="O55" s="16"/>
      <c r="P55" s="16"/>
      <c r="Q55" s="20"/>
      <c r="R55" s="16"/>
      <c r="S55" s="16"/>
      <c r="T55" s="16"/>
      <c r="U55" s="16"/>
      <c r="V55" s="16"/>
      <c r="W55" s="16" t="s">
        <v>4</v>
      </c>
      <c r="X55" s="20"/>
      <c r="Y55" s="16" t="s">
        <v>4</v>
      </c>
      <c r="Z55" s="16" t="s">
        <v>4</v>
      </c>
      <c r="AA55" s="16" t="s">
        <v>4</v>
      </c>
      <c r="AB55" s="16" t="s">
        <v>4</v>
      </c>
      <c r="AC55" s="16" t="s">
        <v>4</v>
      </c>
      <c r="AD55" s="40"/>
      <c r="AE55" s="16" t="s">
        <v>4</v>
      </c>
      <c r="AF55" s="40"/>
      <c r="AG55" s="16" t="s">
        <v>4</v>
      </c>
      <c r="AH55" s="16" t="s">
        <v>4</v>
      </c>
      <c r="AI55" s="16"/>
      <c r="AJ55" s="16"/>
      <c r="AK55" s="16"/>
      <c r="AL55" s="16"/>
      <c r="AM55" s="16"/>
      <c r="AN55" s="16"/>
      <c r="AO55" s="16" t="s">
        <v>4</v>
      </c>
      <c r="AP55" s="16"/>
      <c r="AQ55" s="16" t="s">
        <v>4</v>
      </c>
      <c r="AR55" s="40"/>
      <c r="AS55" s="16" t="s">
        <v>4</v>
      </c>
      <c r="AT55" s="16" t="s">
        <v>4</v>
      </c>
      <c r="AV55" s="16" t="s">
        <v>4</v>
      </c>
      <c r="AW55" s="16" t="s">
        <v>4</v>
      </c>
      <c r="AX55" s="16" t="s">
        <v>4</v>
      </c>
      <c r="AY55" s="18"/>
      <c r="AZ55" s="16" t="s">
        <v>4</v>
      </c>
      <c r="BA55" s="16" t="s">
        <v>4</v>
      </c>
      <c r="BB55" s="16" t="s">
        <v>4</v>
      </c>
      <c r="BC55" s="16" t="s">
        <v>4</v>
      </c>
    </row>
    <row r="56">
      <c r="A56" s="15"/>
      <c r="B56" s="16" t="s">
        <v>71</v>
      </c>
      <c r="C56" s="17" t="s">
        <v>53</v>
      </c>
      <c r="D56" s="16"/>
      <c r="E56" s="20"/>
      <c r="F56" s="20"/>
      <c r="G56" s="20"/>
      <c r="H56" s="16"/>
      <c r="I56" s="20"/>
      <c r="J56" s="20"/>
      <c r="K56" s="20"/>
      <c r="L56" s="16"/>
      <c r="M56" s="20"/>
      <c r="N56" s="20"/>
      <c r="O56" s="16"/>
      <c r="P56" s="16"/>
      <c r="Q56" s="20"/>
      <c r="R56" s="16"/>
      <c r="S56" s="16"/>
      <c r="T56" s="16"/>
      <c r="U56" s="16"/>
      <c r="V56" s="16" t="s">
        <v>4</v>
      </c>
      <c r="W56" s="16" t="s">
        <v>4</v>
      </c>
      <c r="X56" s="20"/>
      <c r="Y56" s="16"/>
      <c r="Z56" s="16" t="s">
        <v>4</v>
      </c>
      <c r="AA56" s="16" t="s">
        <v>4</v>
      </c>
      <c r="AB56" s="16" t="s">
        <v>4</v>
      </c>
      <c r="AC56" s="16" t="s">
        <v>4</v>
      </c>
      <c r="AD56" s="40"/>
      <c r="AE56" s="16"/>
      <c r="AF56" s="40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40"/>
      <c r="AS56" s="16"/>
      <c r="AT56" s="16"/>
      <c r="AV56" s="16"/>
      <c r="AW56" s="16"/>
      <c r="AX56" s="16"/>
      <c r="AY56" s="18"/>
      <c r="AZ56" s="16"/>
      <c r="BA56" s="16"/>
      <c r="BB56" s="16"/>
      <c r="BC56" s="16"/>
    </row>
    <row r="57">
      <c r="A57" s="15"/>
      <c r="B57" s="16" t="s">
        <v>72</v>
      </c>
      <c r="C57" s="17" t="s">
        <v>53</v>
      </c>
      <c r="D57" s="16"/>
      <c r="E57" s="20"/>
      <c r="F57" s="20"/>
      <c r="G57" s="20"/>
      <c r="H57" s="16"/>
      <c r="I57" s="20"/>
      <c r="J57" s="20"/>
      <c r="K57" s="20"/>
      <c r="L57" s="16"/>
      <c r="M57" s="20"/>
      <c r="N57" s="20"/>
      <c r="O57" s="16"/>
      <c r="P57" s="16"/>
      <c r="Q57" s="20"/>
      <c r="R57" s="16"/>
      <c r="S57" s="16"/>
      <c r="T57" s="16"/>
      <c r="U57" s="16"/>
      <c r="V57" s="16"/>
      <c r="W57" s="16"/>
      <c r="X57" s="20"/>
      <c r="Y57" s="16" t="s">
        <v>4</v>
      </c>
      <c r="Z57" s="16" t="s">
        <v>4</v>
      </c>
      <c r="AA57" s="16"/>
      <c r="AB57" s="16" t="s">
        <v>4</v>
      </c>
      <c r="AC57" s="16" t="s">
        <v>4</v>
      </c>
      <c r="AD57" s="40"/>
      <c r="AE57" s="16"/>
      <c r="AF57" s="40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40"/>
      <c r="AS57" s="16"/>
      <c r="AT57" s="16"/>
      <c r="AV57" s="16"/>
      <c r="AW57" s="16"/>
      <c r="AX57" s="16"/>
      <c r="AY57" s="18"/>
      <c r="AZ57" s="16"/>
      <c r="BA57" s="16"/>
      <c r="BB57" s="16"/>
      <c r="BC57" s="16"/>
    </row>
    <row r="58">
      <c r="A58" s="15"/>
      <c r="B58" s="16" t="s">
        <v>126</v>
      </c>
      <c r="C58" s="17" t="s">
        <v>53</v>
      </c>
      <c r="D58" s="16"/>
      <c r="E58" s="20"/>
      <c r="F58" s="20"/>
      <c r="G58" s="20"/>
      <c r="H58" s="16"/>
      <c r="I58" s="20"/>
      <c r="J58" s="20"/>
      <c r="K58" s="20"/>
      <c r="L58" s="16"/>
      <c r="M58" s="20"/>
      <c r="N58" s="20"/>
      <c r="O58" s="16"/>
      <c r="P58" s="16"/>
      <c r="Q58" s="20"/>
      <c r="R58" s="16"/>
      <c r="S58" s="16"/>
      <c r="T58" s="16"/>
      <c r="U58" s="16"/>
      <c r="V58" s="16"/>
      <c r="W58" s="16"/>
      <c r="X58" s="20"/>
      <c r="Y58" s="16"/>
      <c r="Z58" s="16" t="s">
        <v>4</v>
      </c>
      <c r="AA58" s="16" t="s">
        <v>4</v>
      </c>
      <c r="AB58" s="16" t="s">
        <v>4</v>
      </c>
      <c r="AC58" s="16" t="s">
        <v>4</v>
      </c>
      <c r="AD58" s="40"/>
      <c r="AE58" s="16" t="s">
        <v>4</v>
      </c>
      <c r="AF58" s="40"/>
      <c r="AG58" s="16" t="s">
        <v>4</v>
      </c>
      <c r="AH58" s="16" t="s">
        <v>4</v>
      </c>
      <c r="AI58" s="16"/>
      <c r="AJ58" s="16" t="s">
        <v>4</v>
      </c>
      <c r="AK58" s="16"/>
      <c r="AL58" s="16"/>
      <c r="AM58" s="16" t="s">
        <v>4</v>
      </c>
      <c r="AN58" s="16"/>
      <c r="AO58" s="16"/>
      <c r="AP58" s="16"/>
      <c r="AQ58" s="16" t="s">
        <v>4</v>
      </c>
      <c r="AR58" s="40"/>
      <c r="AS58" s="16" t="s">
        <v>4</v>
      </c>
      <c r="AT58" s="16"/>
      <c r="AV58" s="16" t="s">
        <v>4</v>
      </c>
      <c r="AW58" s="16" t="s">
        <v>4</v>
      </c>
      <c r="AX58" s="16" t="s">
        <v>4</v>
      </c>
      <c r="AY58" s="18"/>
      <c r="AZ58" s="16" t="s">
        <v>4</v>
      </c>
      <c r="BA58" s="16" t="s">
        <v>4</v>
      </c>
      <c r="BB58" s="16" t="s">
        <v>4</v>
      </c>
      <c r="BC58" s="16" t="s">
        <v>4</v>
      </c>
    </row>
    <row r="59">
      <c r="A59" s="15"/>
      <c r="B59" s="34" t="s">
        <v>73</v>
      </c>
      <c r="C59" s="17" t="s">
        <v>58</v>
      </c>
      <c r="D59" s="16"/>
      <c r="E59" s="20"/>
      <c r="F59" s="20"/>
      <c r="G59" s="20"/>
      <c r="H59" s="16"/>
      <c r="I59" s="20"/>
      <c r="J59" s="20"/>
      <c r="K59" s="20"/>
      <c r="L59" s="16"/>
      <c r="M59" s="20"/>
      <c r="N59" s="20"/>
      <c r="O59" s="16"/>
      <c r="P59" s="16"/>
      <c r="Q59" s="20"/>
      <c r="R59" s="16"/>
      <c r="S59" s="16"/>
      <c r="T59" s="16"/>
      <c r="U59" s="16"/>
      <c r="V59" s="16"/>
      <c r="W59" s="16"/>
      <c r="X59" s="20"/>
      <c r="Y59" s="16"/>
      <c r="Z59" s="16"/>
      <c r="AA59" s="16"/>
      <c r="AB59" s="16"/>
      <c r="AC59" s="16"/>
      <c r="AD59" s="40"/>
      <c r="AE59" s="16"/>
      <c r="AF59" s="40"/>
      <c r="AG59" s="16" t="s">
        <v>4</v>
      </c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40"/>
      <c r="AS59" s="16"/>
      <c r="AT59" s="16"/>
      <c r="AV59" s="16"/>
      <c r="AW59" s="16"/>
      <c r="AX59" s="16"/>
      <c r="AY59" s="18"/>
      <c r="AZ59" s="16"/>
      <c r="BA59" s="16"/>
      <c r="BB59" s="16"/>
      <c r="BC59" s="16"/>
    </row>
    <row r="60">
      <c r="A60" s="15"/>
      <c r="B60" s="34" t="s">
        <v>74</v>
      </c>
      <c r="C60" s="17" t="s">
        <v>58</v>
      </c>
      <c r="D60" s="16"/>
      <c r="E60" s="20"/>
      <c r="F60" s="20"/>
      <c r="G60" s="20"/>
      <c r="H60" s="16"/>
      <c r="I60" s="20"/>
      <c r="J60" s="20"/>
      <c r="K60" s="20"/>
      <c r="L60" s="16"/>
      <c r="M60" s="20"/>
      <c r="N60" s="20"/>
      <c r="O60" s="16"/>
      <c r="P60" s="16"/>
      <c r="Q60" s="20"/>
      <c r="R60" s="16"/>
      <c r="S60" s="16"/>
      <c r="T60" s="16"/>
      <c r="U60" s="16"/>
      <c r="V60" s="16"/>
      <c r="W60" s="16"/>
      <c r="X60" s="20"/>
      <c r="Y60" s="16"/>
      <c r="Z60" s="16"/>
      <c r="AA60" s="16"/>
      <c r="AB60" s="16"/>
      <c r="AC60" s="16"/>
      <c r="AD60" s="40"/>
      <c r="AE60" s="16"/>
      <c r="AF60" s="40"/>
      <c r="AG60" s="16" t="s">
        <v>4</v>
      </c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40"/>
      <c r="AS60" s="16"/>
      <c r="AT60" s="16"/>
      <c r="AV60" s="16"/>
      <c r="AW60" s="16"/>
      <c r="AX60" s="16"/>
      <c r="AY60" s="18"/>
      <c r="AZ60" s="16"/>
      <c r="BA60" s="16"/>
      <c r="BB60" s="16"/>
      <c r="BC60" s="16"/>
    </row>
    <row r="61">
      <c r="A61" s="15"/>
      <c r="B61" s="35" t="s">
        <v>127</v>
      </c>
      <c r="C61" s="30" t="s">
        <v>53</v>
      </c>
      <c r="D61" s="20"/>
      <c r="E61" s="20"/>
      <c r="F61" s="20"/>
      <c r="G61" s="20"/>
      <c r="H61" s="20"/>
      <c r="I61" s="16"/>
      <c r="J61" s="20"/>
      <c r="K61" s="20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 t="s">
        <v>4</v>
      </c>
      <c r="Y61" s="16" t="s">
        <v>4</v>
      </c>
      <c r="Z61" s="20"/>
      <c r="AA61" s="16"/>
      <c r="AB61" s="20"/>
      <c r="AC61" s="16"/>
      <c r="AD61" s="40"/>
      <c r="AE61" s="16"/>
      <c r="AF61" s="40"/>
      <c r="AG61" s="16" t="s">
        <v>4</v>
      </c>
      <c r="AH61" s="16"/>
      <c r="AI61" s="16"/>
      <c r="AJ61" s="16" t="s">
        <v>4</v>
      </c>
      <c r="AK61" s="16" t="s">
        <v>4</v>
      </c>
      <c r="AL61" s="16" t="s">
        <v>4</v>
      </c>
      <c r="AM61" s="16" t="s">
        <v>4</v>
      </c>
      <c r="AN61" s="16" t="s">
        <v>4</v>
      </c>
      <c r="AO61" s="16"/>
      <c r="AP61" s="16" t="s">
        <v>4</v>
      </c>
      <c r="AQ61" s="16"/>
      <c r="AR61" s="40"/>
      <c r="AS61" s="16"/>
      <c r="AT61" s="16"/>
      <c r="AV61" s="16"/>
      <c r="AW61" s="16"/>
      <c r="AX61" s="16"/>
      <c r="AY61" s="18"/>
      <c r="AZ61" s="16"/>
      <c r="BA61" s="16"/>
      <c r="BB61" s="16"/>
      <c r="BC61" s="16"/>
    </row>
    <row r="62">
      <c r="A62" s="15"/>
      <c r="B62" s="35" t="s">
        <v>128</v>
      </c>
      <c r="C62" s="30" t="s">
        <v>53</v>
      </c>
      <c r="D62" s="20"/>
      <c r="E62" s="20"/>
      <c r="F62" s="20"/>
      <c r="G62" s="20"/>
      <c r="H62" s="20"/>
      <c r="I62" s="16"/>
      <c r="J62" s="20"/>
      <c r="K62" s="20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 t="s">
        <v>4</v>
      </c>
      <c r="Y62" s="16" t="s">
        <v>4</v>
      </c>
      <c r="Z62" s="20"/>
      <c r="AA62" s="16"/>
      <c r="AB62" s="20"/>
      <c r="AC62" s="16"/>
      <c r="AD62" s="40"/>
      <c r="AE62" s="16"/>
      <c r="AF62" s="40"/>
      <c r="AG62" s="16" t="s">
        <v>4</v>
      </c>
      <c r="AH62" s="16"/>
      <c r="AI62" s="16"/>
      <c r="AJ62" s="16" t="s">
        <v>4</v>
      </c>
      <c r="AK62" s="16" t="s">
        <v>4</v>
      </c>
      <c r="AL62" s="16" t="s">
        <v>4</v>
      </c>
      <c r="AM62" s="16" t="s">
        <v>4</v>
      </c>
      <c r="AN62" s="16" t="s">
        <v>4</v>
      </c>
      <c r="AO62" s="16"/>
      <c r="AP62" s="16" t="s">
        <v>4</v>
      </c>
      <c r="AQ62" s="16"/>
      <c r="AR62" s="40"/>
      <c r="AS62" s="16"/>
      <c r="AT62" s="16"/>
      <c r="AV62" s="16"/>
      <c r="AW62" s="16"/>
      <c r="AX62" s="16"/>
      <c r="AY62" s="18"/>
      <c r="AZ62" s="16"/>
      <c r="BA62" s="16"/>
      <c r="BB62" s="16"/>
      <c r="BC62" s="16"/>
    </row>
    <row r="63">
      <c r="A63" s="15"/>
      <c r="B63" s="28" t="s">
        <v>129</v>
      </c>
      <c r="C63" s="17" t="s">
        <v>30</v>
      </c>
      <c r="D63" s="20"/>
      <c r="E63" s="20"/>
      <c r="F63" s="20"/>
      <c r="G63" s="20"/>
      <c r="H63" s="20"/>
      <c r="I63" s="16"/>
      <c r="J63" s="20"/>
      <c r="K63" s="20"/>
      <c r="L63" s="16"/>
      <c r="M63" s="16" t="s">
        <v>4</v>
      </c>
      <c r="N63" s="16"/>
      <c r="O63" s="16" t="s">
        <v>4</v>
      </c>
      <c r="P63" s="16" t="s">
        <v>4</v>
      </c>
      <c r="Q63" s="16" t="s">
        <v>4</v>
      </c>
      <c r="R63" s="16" t="s">
        <v>4</v>
      </c>
      <c r="S63" s="16" t="s">
        <v>4</v>
      </c>
      <c r="T63" s="16" t="s">
        <v>4</v>
      </c>
      <c r="U63" s="16" t="s">
        <v>4</v>
      </c>
      <c r="V63" s="16" t="s">
        <v>4</v>
      </c>
      <c r="W63" s="16"/>
      <c r="X63" s="16" t="s">
        <v>4</v>
      </c>
      <c r="Y63" s="16" t="s">
        <v>4</v>
      </c>
      <c r="Z63" s="20"/>
      <c r="AA63" s="16"/>
      <c r="AB63" s="16" t="s">
        <v>4</v>
      </c>
      <c r="AC63" s="16" t="s">
        <v>4</v>
      </c>
      <c r="AD63" s="40"/>
      <c r="AE63" s="16"/>
      <c r="AF63" s="40"/>
      <c r="AG63" s="16"/>
      <c r="AH63" s="16"/>
      <c r="AI63" s="16" t="s">
        <v>4</v>
      </c>
      <c r="AJ63" s="16" t="s">
        <v>4</v>
      </c>
      <c r="AK63" s="16" t="s">
        <v>4</v>
      </c>
      <c r="AL63" s="16" t="s">
        <v>4</v>
      </c>
      <c r="AM63" s="16"/>
      <c r="AN63" s="16"/>
      <c r="AO63" s="16"/>
      <c r="AP63" s="16" t="s">
        <v>4</v>
      </c>
      <c r="AQ63" s="16" t="s">
        <v>4</v>
      </c>
      <c r="AR63" s="40"/>
      <c r="AS63" s="16" t="s">
        <v>4</v>
      </c>
      <c r="AT63" s="16"/>
      <c r="AV63" s="16"/>
      <c r="AW63" s="16"/>
      <c r="AX63" s="16"/>
      <c r="AY63" s="18"/>
      <c r="AZ63" s="16"/>
      <c r="BA63" s="16"/>
      <c r="BB63" s="16"/>
      <c r="BC63" s="16"/>
    </row>
    <row r="64">
      <c r="A64" s="15"/>
      <c r="B64" s="28" t="s">
        <v>130</v>
      </c>
      <c r="C64" s="17" t="s">
        <v>30</v>
      </c>
      <c r="D64" s="20"/>
      <c r="E64" s="20"/>
      <c r="F64" s="20"/>
      <c r="G64" s="20"/>
      <c r="H64" s="20"/>
      <c r="I64" s="16"/>
      <c r="J64" s="20"/>
      <c r="K64" s="20"/>
      <c r="L64" s="16"/>
      <c r="M64" s="16" t="s">
        <v>4</v>
      </c>
      <c r="N64" s="16"/>
      <c r="O64" s="20"/>
      <c r="P64" s="16" t="s">
        <v>4</v>
      </c>
      <c r="Q64" s="16" t="s">
        <v>4</v>
      </c>
      <c r="R64" s="16" t="s">
        <v>4</v>
      </c>
      <c r="S64" s="16" t="s">
        <v>4</v>
      </c>
      <c r="T64" s="20"/>
      <c r="U64" s="16" t="s">
        <v>4</v>
      </c>
      <c r="V64" s="16" t="s">
        <v>4</v>
      </c>
      <c r="W64" s="16"/>
      <c r="X64" s="16" t="s">
        <v>4</v>
      </c>
      <c r="Y64" s="16" t="s">
        <v>4</v>
      </c>
      <c r="Z64" s="16" t="s">
        <v>4</v>
      </c>
      <c r="AA64" s="16"/>
      <c r="AB64" s="16" t="s">
        <v>4</v>
      </c>
      <c r="AC64" s="16" t="s">
        <v>4</v>
      </c>
      <c r="AD64" s="40"/>
      <c r="AE64" s="16"/>
      <c r="AF64" s="40"/>
      <c r="AG64" s="16"/>
      <c r="AH64" s="16" t="s">
        <v>4</v>
      </c>
      <c r="AI64" s="16" t="s">
        <v>4</v>
      </c>
      <c r="AJ64" s="16"/>
      <c r="AK64" s="16" t="s">
        <v>4</v>
      </c>
      <c r="AL64" s="16"/>
      <c r="AM64" s="16" t="s">
        <v>4</v>
      </c>
      <c r="AN64" s="16"/>
      <c r="AO64" s="16"/>
      <c r="AP64" s="16" t="s">
        <v>4</v>
      </c>
      <c r="AQ64" s="16" t="s">
        <v>4</v>
      </c>
      <c r="AR64" s="40"/>
      <c r="AS64" s="16" t="s">
        <v>4</v>
      </c>
      <c r="AT64" s="16"/>
      <c r="AV64" s="16"/>
      <c r="AW64" s="16" t="s">
        <v>4</v>
      </c>
      <c r="AX64" s="16" t="s">
        <v>4</v>
      </c>
      <c r="AY64" s="18"/>
      <c r="AZ64" s="16"/>
      <c r="BA64" s="16"/>
      <c r="BB64" s="16"/>
      <c r="BC64" s="16"/>
    </row>
    <row r="65">
      <c r="A65" s="15"/>
      <c r="B65" s="28" t="s">
        <v>66</v>
      </c>
      <c r="C65" s="17" t="s">
        <v>58</v>
      </c>
      <c r="D65" s="20"/>
      <c r="E65" s="20"/>
      <c r="F65" s="20"/>
      <c r="G65" s="20"/>
      <c r="H65" s="20"/>
      <c r="I65" s="16"/>
      <c r="J65" s="20"/>
      <c r="K65" s="20"/>
      <c r="L65" s="16"/>
      <c r="M65" s="16"/>
      <c r="N65" s="16"/>
      <c r="O65" s="20"/>
      <c r="P65" s="16"/>
      <c r="Q65" s="16"/>
      <c r="R65" s="16"/>
      <c r="S65" s="16"/>
      <c r="T65" s="20"/>
      <c r="U65" s="16"/>
      <c r="V65" s="16"/>
      <c r="W65" s="16"/>
      <c r="X65" s="16"/>
      <c r="Y65" s="16"/>
      <c r="Z65" s="16"/>
      <c r="AA65" s="16"/>
      <c r="AB65" s="16"/>
      <c r="AC65" s="16"/>
      <c r="AD65" s="40"/>
      <c r="AE65" s="16"/>
      <c r="AF65" s="40"/>
      <c r="AG65" s="16"/>
      <c r="AH65" s="16" t="s">
        <v>4</v>
      </c>
      <c r="AI65" s="16"/>
      <c r="AJ65" s="16" t="s">
        <v>4</v>
      </c>
      <c r="AK65" s="16"/>
      <c r="AL65" s="16"/>
      <c r="AM65" s="16"/>
      <c r="AN65" s="16"/>
      <c r="AO65" s="16"/>
      <c r="AP65" s="16"/>
      <c r="AQ65" s="16"/>
      <c r="AR65" s="40"/>
      <c r="AS65" s="16" t="s">
        <v>4</v>
      </c>
      <c r="AT65" s="16"/>
      <c r="AV65" s="16"/>
      <c r="AW65" s="16"/>
      <c r="AX65" s="16"/>
      <c r="AY65" s="18"/>
      <c r="AZ65" s="16"/>
      <c r="BA65" s="16"/>
      <c r="BB65" s="16"/>
      <c r="BC65" s="16"/>
    </row>
    <row r="66">
      <c r="A66" s="15"/>
      <c r="B66" s="28" t="s">
        <v>67</v>
      </c>
      <c r="C66" s="17" t="s">
        <v>58</v>
      </c>
      <c r="D66" s="20"/>
      <c r="E66" s="20"/>
      <c r="F66" s="20"/>
      <c r="G66" s="20"/>
      <c r="H66" s="20"/>
      <c r="I66" s="16"/>
      <c r="J66" s="20"/>
      <c r="K66" s="20"/>
      <c r="L66" s="16"/>
      <c r="M66" s="16"/>
      <c r="N66" s="16"/>
      <c r="O66" s="20"/>
      <c r="P66" s="16"/>
      <c r="Q66" s="16"/>
      <c r="R66" s="16"/>
      <c r="S66" s="16"/>
      <c r="T66" s="20"/>
      <c r="U66" s="16"/>
      <c r="V66" s="16"/>
      <c r="W66" s="16"/>
      <c r="X66" s="16"/>
      <c r="Y66" s="16"/>
      <c r="Z66" s="16"/>
      <c r="AA66" s="16"/>
      <c r="AB66" s="16"/>
      <c r="AC66" s="16"/>
      <c r="AD66" s="40"/>
      <c r="AE66" s="16"/>
      <c r="AF66" s="40"/>
      <c r="AG66" s="16"/>
      <c r="AH66" s="16"/>
      <c r="AI66" s="16"/>
      <c r="AJ66" s="16"/>
      <c r="AK66" s="16"/>
      <c r="AL66" s="16"/>
      <c r="AM66" s="16" t="s">
        <v>4</v>
      </c>
      <c r="AN66" s="16"/>
      <c r="AO66" s="16"/>
      <c r="AP66" s="16"/>
      <c r="AQ66" s="16"/>
      <c r="AR66" s="40"/>
      <c r="AS66" s="16"/>
      <c r="AT66" s="16"/>
      <c r="AV66" s="16"/>
      <c r="AW66" s="16"/>
      <c r="AX66" s="16"/>
      <c r="AY66" s="18"/>
      <c r="AZ66" s="16"/>
      <c r="BA66" s="16"/>
      <c r="BB66" s="16"/>
      <c r="BC66" s="16"/>
    </row>
    <row r="67">
      <c r="A67" s="15"/>
      <c r="B67" s="28" t="s">
        <v>75</v>
      </c>
      <c r="C67" s="17" t="s">
        <v>58</v>
      </c>
      <c r="D67" s="20"/>
      <c r="E67" s="20"/>
      <c r="F67" s="20"/>
      <c r="G67" s="20"/>
      <c r="H67" s="20"/>
      <c r="I67" s="16"/>
      <c r="J67" s="20"/>
      <c r="K67" s="20"/>
      <c r="L67" s="16"/>
      <c r="M67" s="16"/>
      <c r="N67" s="16"/>
      <c r="O67" s="20"/>
      <c r="P67" s="16"/>
      <c r="Q67" s="16"/>
      <c r="R67" s="16"/>
      <c r="S67" s="16"/>
      <c r="T67" s="20"/>
      <c r="U67" s="16"/>
      <c r="V67" s="16"/>
      <c r="W67" s="16"/>
      <c r="X67" s="16"/>
      <c r="Y67" s="16"/>
      <c r="Z67" s="16"/>
      <c r="AA67" s="16"/>
      <c r="AB67" s="16"/>
      <c r="AC67" s="16"/>
      <c r="AD67" s="40"/>
      <c r="AE67" s="16"/>
      <c r="AF67" s="40"/>
      <c r="AG67" s="16"/>
      <c r="AH67" s="16"/>
      <c r="AI67" s="16"/>
      <c r="AJ67" s="16"/>
      <c r="AK67" s="16"/>
      <c r="AL67" s="16"/>
      <c r="AM67" s="16" t="s">
        <v>4</v>
      </c>
      <c r="AN67" s="16"/>
      <c r="AO67" s="16"/>
      <c r="AP67" s="16"/>
      <c r="AQ67" s="16"/>
      <c r="AR67" s="40"/>
      <c r="AS67" s="16"/>
      <c r="AT67" s="16"/>
      <c r="AV67" s="16"/>
      <c r="AW67" s="16"/>
      <c r="AX67" s="16"/>
      <c r="AY67" s="18"/>
      <c r="AZ67" s="16"/>
      <c r="BA67" s="16"/>
      <c r="BB67" s="16"/>
      <c r="BC67" s="16"/>
    </row>
    <row r="68">
      <c r="A68" s="15"/>
      <c r="B68" s="28" t="s">
        <v>76</v>
      </c>
      <c r="C68" s="17" t="s">
        <v>53</v>
      </c>
      <c r="D68" s="20"/>
      <c r="E68" s="20"/>
      <c r="F68" s="20"/>
      <c r="G68" s="20"/>
      <c r="H68" s="20"/>
      <c r="I68" s="16"/>
      <c r="J68" s="20"/>
      <c r="K68" s="20"/>
      <c r="L68" s="16"/>
      <c r="M68" s="16"/>
      <c r="N68" s="16"/>
      <c r="O68" s="20"/>
      <c r="P68" s="16"/>
      <c r="Q68" s="16"/>
      <c r="R68" s="16"/>
      <c r="S68" s="16"/>
      <c r="T68" s="20"/>
      <c r="U68" s="16"/>
      <c r="V68" s="16"/>
      <c r="W68" s="16"/>
      <c r="X68" s="16"/>
      <c r="Y68" s="16"/>
      <c r="Z68" s="16"/>
      <c r="AA68" s="16"/>
      <c r="AB68" s="16"/>
      <c r="AC68" s="16"/>
      <c r="AD68" s="40"/>
      <c r="AE68" s="16"/>
      <c r="AF68" s="40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40"/>
      <c r="AS68" s="16"/>
      <c r="AT68" s="16"/>
      <c r="AV68" s="16"/>
      <c r="AW68" s="16" t="s">
        <v>4</v>
      </c>
      <c r="AX68" s="16" t="s">
        <v>4</v>
      </c>
      <c r="AY68" s="18"/>
      <c r="AZ68" s="16"/>
      <c r="BA68" s="16"/>
      <c r="BB68" s="16"/>
      <c r="BC68" s="16"/>
    </row>
    <row r="69">
      <c r="A69" s="21"/>
      <c r="B69" s="97"/>
      <c r="C69" s="42"/>
      <c r="D69" s="20"/>
      <c r="E69" s="20"/>
      <c r="F69" s="20"/>
      <c r="G69" s="20"/>
      <c r="H69" s="20"/>
      <c r="I69" s="20"/>
      <c r="J69" s="20"/>
      <c r="K69" s="20"/>
      <c r="L69" s="16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43"/>
      <c r="AE69" s="20"/>
      <c r="AF69" s="43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43"/>
      <c r="AS69" s="20"/>
      <c r="AT69" s="20"/>
      <c r="AV69" s="20"/>
      <c r="AW69" s="20"/>
      <c r="AX69" s="20"/>
      <c r="AY69" s="44"/>
      <c r="AZ69" s="20"/>
      <c r="BA69" s="20"/>
      <c r="BB69" s="20"/>
      <c r="BC69" s="20"/>
    </row>
    <row r="70">
      <c r="A70" s="98"/>
      <c r="B70" s="34" t="s">
        <v>131</v>
      </c>
      <c r="C70" s="17" t="s">
        <v>89</v>
      </c>
      <c r="D70" s="16"/>
      <c r="E70" s="20"/>
      <c r="F70" s="20"/>
      <c r="G70" s="20"/>
      <c r="H70" s="20"/>
      <c r="I70" s="16"/>
      <c r="J70" s="20"/>
      <c r="K70" s="20"/>
      <c r="L70" s="20"/>
      <c r="M70" s="20"/>
      <c r="N70" s="16"/>
      <c r="O70" s="20"/>
      <c r="P70" s="16"/>
      <c r="Q70" s="16"/>
      <c r="R70" s="16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16"/>
      <c r="AD70" s="40"/>
      <c r="AE70" s="16"/>
      <c r="AF70" s="40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40"/>
      <c r="AS70" s="16"/>
      <c r="AT70" s="16"/>
      <c r="AV70" s="16"/>
      <c r="AW70" s="16"/>
      <c r="AX70" s="16"/>
      <c r="AY70" s="18"/>
      <c r="AZ70" s="16"/>
      <c r="BA70" s="16"/>
      <c r="BB70" s="16"/>
      <c r="BC70" s="16"/>
    </row>
    <row r="71">
      <c r="A71" s="15"/>
      <c r="B71" s="34" t="s">
        <v>78</v>
      </c>
      <c r="C71" s="17" t="s">
        <v>53</v>
      </c>
      <c r="D71" s="16"/>
      <c r="E71" s="20"/>
      <c r="F71" s="20"/>
      <c r="G71" s="20"/>
      <c r="H71" s="20"/>
      <c r="I71" s="16"/>
      <c r="J71" s="20"/>
      <c r="K71" s="20"/>
      <c r="L71" s="20"/>
      <c r="M71" s="20"/>
      <c r="N71" s="16"/>
      <c r="O71" s="20"/>
      <c r="P71" s="16"/>
      <c r="Q71" s="16"/>
      <c r="R71" s="16"/>
      <c r="S71" s="20"/>
      <c r="T71" s="20"/>
      <c r="U71" s="16"/>
      <c r="V71" s="20"/>
      <c r="W71" s="16"/>
      <c r="X71" s="20"/>
      <c r="Y71" s="20"/>
      <c r="Z71" s="20"/>
      <c r="AA71" s="20"/>
      <c r="AB71" s="20"/>
      <c r="AC71" s="16"/>
      <c r="AD71" s="40"/>
      <c r="AE71" s="16"/>
      <c r="AF71" s="40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40"/>
      <c r="AS71" s="16"/>
      <c r="AT71" s="16"/>
      <c r="AV71" s="16"/>
      <c r="AW71" s="16"/>
      <c r="AX71" s="16"/>
      <c r="AY71" s="18"/>
      <c r="AZ71" s="16"/>
      <c r="BA71" s="16"/>
      <c r="BB71" s="16"/>
      <c r="BC71" s="16"/>
    </row>
    <row r="72">
      <c r="A72" s="15"/>
      <c r="B72" s="35" t="s">
        <v>90</v>
      </c>
      <c r="C72" s="17" t="s">
        <v>89</v>
      </c>
      <c r="D72" s="16"/>
      <c r="E72" s="20"/>
      <c r="F72" s="20"/>
      <c r="G72" s="20"/>
      <c r="H72" s="16" t="s">
        <v>4</v>
      </c>
      <c r="I72" s="16" t="s">
        <v>4</v>
      </c>
      <c r="J72" s="20"/>
      <c r="K72" s="20"/>
      <c r="L72" s="20"/>
      <c r="M72" s="20"/>
      <c r="N72" s="16"/>
      <c r="O72" s="20"/>
      <c r="P72" s="16"/>
      <c r="Q72" s="16"/>
      <c r="R72" s="16"/>
      <c r="S72" s="20"/>
      <c r="T72" s="20"/>
      <c r="U72" s="16"/>
      <c r="V72" s="16"/>
      <c r="W72" s="16"/>
      <c r="X72" s="20"/>
      <c r="Y72" s="20"/>
      <c r="Z72" s="20"/>
      <c r="AA72" s="16"/>
      <c r="AB72" s="20"/>
      <c r="AC72" s="16"/>
      <c r="AD72" s="40"/>
      <c r="AE72" s="16"/>
      <c r="AF72" s="40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40"/>
      <c r="AS72" s="16"/>
      <c r="AT72" s="16"/>
      <c r="AV72" s="16"/>
      <c r="AW72" s="16"/>
      <c r="AX72" s="16"/>
      <c r="AY72" s="18"/>
      <c r="AZ72" s="16"/>
      <c r="BA72" s="16"/>
      <c r="BB72" s="16"/>
      <c r="BC72" s="16"/>
    </row>
    <row r="73">
      <c r="A73" s="15"/>
      <c r="B73" s="35" t="s">
        <v>91</v>
      </c>
      <c r="C73" s="17" t="s">
        <v>89</v>
      </c>
      <c r="D73" s="20"/>
      <c r="E73" s="20"/>
      <c r="F73" s="20"/>
      <c r="G73" s="20"/>
      <c r="H73" s="20"/>
      <c r="I73" s="16"/>
      <c r="J73" s="16" t="s">
        <v>4</v>
      </c>
      <c r="K73" s="20"/>
      <c r="L73" s="20"/>
      <c r="M73" s="20"/>
      <c r="N73" s="16"/>
      <c r="O73" s="20"/>
      <c r="P73" s="16"/>
      <c r="Q73" s="16"/>
      <c r="R73" s="16"/>
      <c r="S73" s="20"/>
      <c r="T73" s="20"/>
      <c r="U73" s="16"/>
      <c r="V73" s="16"/>
      <c r="W73" s="16"/>
      <c r="X73" s="20"/>
      <c r="Y73" s="20"/>
      <c r="Z73" s="20"/>
      <c r="AA73" s="16"/>
      <c r="AB73" s="20"/>
      <c r="AC73" s="16"/>
      <c r="AD73" s="40"/>
      <c r="AE73" s="16"/>
      <c r="AF73" s="40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40"/>
      <c r="AS73" s="16"/>
      <c r="AT73" s="16"/>
      <c r="AV73" s="16"/>
      <c r="AW73" s="16"/>
      <c r="AX73" s="16"/>
      <c r="AY73" s="18"/>
      <c r="AZ73" s="16"/>
      <c r="BA73" s="16"/>
      <c r="BB73" s="16"/>
      <c r="BC73" s="16"/>
    </row>
    <row r="74">
      <c r="A74" s="15"/>
      <c r="B74" s="35" t="s">
        <v>92</v>
      </c>
      <c r="C74" s="17" t="s">
        <v>89</v>
      </c>
      <c r="D74" s="20"/>
      <c r="E74" s="20"/>
      <c r="F74" s="20"/>
      <c r="G74" s="20"/>
      <c r="H74" s="20"/>
      <c r="I74" s="16"/>
      <c r="J74" s="20"/>
      <c r="K74" s="20"/>
      <c r="L74" s="16" t="s">
        <v>4</v>
      </c>
      <c r="M74" s="20"/>
      <c r="N74" s="16"/>
      <c r="O74" s="20"/>
      <c r="P74" s="16"/>
      <c r="Q74" s="16"/>
      <c r="R74" s="16"/>
      <c r="S74" s="16"/>
      <c r="T74" s="20"/>
      <c r="U74" s="16"/>
      <c r="V74" s="16"/>
      <c r="W74" s="16"/>
      <c r="X74" s="20"/>
      <c r="Y74" s="20"/>
      <c r="Z74" s="20"/>
      <c r="AA74" s="16"/>
      <c r="AB74" s="20"/>
      <c r="AC74" s="16"/>
      <c r="AD74" s="40"/>
      <c r="AE74" s="16"/>
      <c r="AF74" s="40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40"/>
      <c r="AS74" s="16"/>
      <c r="AT74" s="16"/>
      <c r="AV74" s="16"/>
      <c r="AW74" s="16"/>
      <c r="AX74" s="16"/>
      <c r="AY74" s="18"/>
      <c r="AZ74" s="16"/>
      <c r="BA74" s="16"/>
      <c r="BB74" s="16"/>
      <c r="BC74" s="16"/>
    </row>
    <row r="75">
      <c r="A75" s="15"/>
      <c r="B75" s="35" t="s">
        <v>93</v>
      </c>
      <c r="C75" s="17" t="s">
        <v>89</v>
      </c>
      <c r="D75" s="20"/>
      <c r="E75" s="20"/>
      <c r="F75" s="20"/>
      <c r="G75" s="20"/>
      <c r="H75" s="20"/>
      <c r="I75" s="16"/>
      <c r="J75" s="20"/>
      <c r="K75" s="20"/>
      <c r="L75" s="16" t="s">
        <v>4</v>
      </c>
      <c r="M75" s="20"/>
      <c r="N75" s="16"/>
      <c r="O75" s="20"/>
      <c r="P75" s="16"/>
      <c r="Q75" s="16"/>
      <c r="R75" s="16"/>
      <c r="S75" s="16"/>
      <c r="T75" s="20"/>
      <c r="U75" s="16"/>
      <c r="V75" s="16"/>
      <c r="W75" s="16"/>
      <c r="X75" s="20"/>
      <c r="Y75" s="20"/>
      <c r="Z75" s="20"/>
      <c r="AA75" s="16"/>
      <c r="AB75" s="20"/>
      <c r="AC75" s="16"/>
      <c r="AD75" s="40"/>
      <c r="AE75" s="16"/>
      <c r="AF75" s="40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40"/>
      <c r="AS75" s="16"/>
      <c r="AT75" s="16"/>
      <c r="AV75" s="16"/>
      <c r="AW75" s="16"/>
      <c r="AX75" s="16"/>
      <c r="AY75" s="18"/>
      <c r="AZ75" s="16"/>
      <c r="BA75" s="16"/>
      <c r="BB75" s="16"/>
      <c r="BC75" s="16"/>
    </row>
    <row r="76">
      <c r="A76" s="15"/>
      <c r="B76" s="35" t="s">
        <v>132</v>
      </c>
      <c r="C76" s="17" t="s">
        <v>89</v>
      </c>
      <c r="D76" s="20"/>
      <c r="E76" s="20"/>
      <c r="F76" s="20"/>
      <c r="G76" s="20"/>
      <c r="H76" s="20"/>
      <c r="I76" s="16"/>
      <c r="J76" s="20"/>
      <c r="K76" s="20"/>
      <c r="L76" s="16"/>
      <c r="M76" s="16" t="s">
        <v>4</v>
      </c>
      <c r="N76" s="16"/>
      <c r="O76" s="20"/>
      <c r="P76" s="16"/>
      <c r="Q76" s="16"/>
      <c r="R76" s="16"/>
      <c r="S76" s="20"/>
      <c r="T76" s="20"/>
      <c r="U76" s="16"/>
      <c r="V76" s="16"/>
      <c r="W76" s="16"/>
      <c r="X76" s="20"/>
      <c r="Y76" s="20"/>
      <c r="Z76" s="20"/>
      <c r="AA76" s="16"/>
      <c r="AB76" s="20"/>
      <c r="AC76" s="16"/>
      <c r="AD76" s="40"/>
      <c r="AE76" s="16"/>
      <c r="AF76" s="40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40"/>
      <c r="AS76" s="16"/>
      <c r="AT76" s="16"/>
      <c r="AV76" s="16"/>
      <c r="AW76" s="16"/>
      <c r="AX76" s="16"/>
      <c r="AY76" s="18"/>
      <c r="AZ76" s="16"/>
      <c r="BA76" s="16"/>
      <c r="BB76" s="16"/>
      <c r="BC76" s="16"/>
    </row>
    <row r="77">
      <c r="A77" s="15"/>
      <c r="B77" s="35" t="s">
        <v>133</v>
      </c>
      <c r="C77" s="17" t="s">
        <v>89</v>
      </c>
      <c r="D77" s="20"/>
      <c r="E77" s="20"/>
      <c r="F77" s="20"/>
      <c r="G77" s="20"/>
      <c r="H77" s="20"/>
      <c r="I77" s="16"/>
      <c r="J77" s="20"/>
      <c r="K77" s="20"/>
      <c r="L77" s="16"/>
      <c r="M77" s="16" t="s">
        <v>4</v>
      </c>
      <c r="N77" s="16"/>
      <c r="O77" s="20"/>
      <c r="P77" s="16"/>
      <c r="Q77" s="16"/>
      <c r="R77" s="16"/>
      <c r="S77" s="20"/>
      <c r="T77" s="20"/>
      <c r="U77" s="16"/>
      <c r="V77" s="16"/>
      <c r="W77" s="16"/>
      <c r="X77" s="20"/>
      <c r="Y77" s="20"/>
      <c r="Z77" s="20"/>
      <c r="AA77" s="16"/>
      <c r="AB77" s="20"/>
      <c r="AC77" s="16"/>
      <c r="AD77" s="40"/>
      <c r="AE77" s="16"/>
      <c r="AF77" s="40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40"/>
      <c r="AS77" s="16"/>
      <c r="AT77" s="16"/>
      <c r="AV77" s="16"/>
      <c r="AW77" s="16"/>
      <c r="AX77" s="16"/>
      <c r="AY77" s="18"/>
      <c r="AZ77" s="16"/>
      <c r="BA77" s="16"/>
      <c r="BB77" s="16"/>
      <c r="BC77" s="16"/>
    </row>
    <row r="78">
      <c r="A78" s="15"/>
      <c r="B78" s="35" t="s">
        <v>134</v>
      </c>
      <c r="C78" s="17" t="s">
        <v>89</v>
      </c>
      <c r="D78" s="20"/>
      <c r="E78" s="20"/>
      <c r="F78" s="20"/>
      <c r="G78" s="20"/>
      <c r="H78" s="20"/>
      <c r="I78" s="16"/>
      <c r="J78" s="20"/>
      <c r="K78" s="20"/>
      <c r="L78" s="16"/>
      <c r="M78" s="16" t="s">
        <v>4</v>
      </c>
      <c r="N78" s="16"/>
      <c r="O78" s="20"/>
      <c r="P78" s="16"/>
      <c r="Q78" s="16"/>
      <c r="R78" s="16"/>
      <c r="S78" s="20"/>
      <c r="T78" s="20"/>
      <c r="U78" s="16"/>
      <c r="V78" s="16"/>
      <c r="W78" s="16"/>
      <c r="X78" s="20"/>
      <c r="Y78" s="20"/>
      <c r="Z78" s="20"/>
      <c r="AA78" s="16"/>
      <c r="AB78" s="20"/>
      <c r="AC78" s="16"/>
      <c r="AD78" s="40"/>
      <c r="AE78" s="16"/>
      <c r="AF78" s="40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40"/>
      <c r="AS78" s="16"/>
      <c r="AT78" s="16"/>
      <c r="AV78" s="16"/>
      <c r="AW78" s="16"/>
      <c r="AX78" s="16"/>
      <c r="AY78" s="18"/>
      <c r="AZ78" s="16"/>
      <c r="BA78" s="16"/>
      <c r="BB78" s="16"/>
      <c r="BC78" s="16"/>
    </row>
    <row r="79">
      <c r="A79" s="15"/>
      <c r="B79" s="35" t="s">
        <v>95</v>
      </c>
      <c r="C79" s="17" t="s">
        <v>89</v>
      </c>
      <c r="D79" s="20"/>
      <c r="E79" s="20"/>
      <c r="F79" s="20"/>
      <c r="G79" s="20"/>
      <c r="H79" s="20"/>
      <c r="I79" s="16"/>
      <c r="J79" s="20"/>
      <c r="K79" s="20"/>
      <c r="L79" s="16"/>
      <c r="M79" s="16"/>
      <c r="N79" s="16"/>
      <c r="O79" s="16" t="s">
        <v>4</v>
      </c>
      <c r="P79" s="16"/>
      <c r="Q79" s="16" t="s">
        <v>4</v>
      </c>
      <c r="R79" s="16"/>
      <c r="S79" s="16" t="s">
        <v>4</v>
      </c>
      <c r="T79" s="20"/>
      <c r="U79" s="16"/>
      <c r="V79" s="16"/>
      <c r="W79" s="16"/>
      <c r="X79" s="20"/>
      <c r="Y79" s="20"/>
      <c r="Z79" s="20"/>
      <c r="AA79" s="16"/>
      <c r="AB79" s="20"/>
      <c r="AC79" s="16"/>
      <c r="AD79" s="40"/>
      <c r="AE79" s="16"/>
      <c r="AF79" s="40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40"/>
      <c r="AS79" s="16"/>
      <c r="AT79" s="16"/>
      <c r="AV79" s="16"/>
      <c r="AW79" s="16"/>
      <c r="AX79" s="16"/>
      <c r="AY79" s="18"/>
      <c r="AZ79" s="16"/>
      <c r="BA79" s="16"/>
      <c r="BB79" s="16"/>
      <c r="BC79" s="16"/>
    </row>
    <row r="80">
      <c r="A80" s="15"/>
      <c r="B80" s="35" t="s">
        <v>135</v>
      </c>
      <c r="C80" s="17" t="s">
        <v>89</v>
      </c>
      <c r="D80" s="20"/>
      <c r="E80" s="20"/>
      <c r="F80" s="20"/>
      <c r="G80" s="20"/>
      <c r="H80" s="20"/>
      <c r="I80" s="16"/>
      <c r="J80" s="20"/>
      <c r="K80" s="20"/>
      <c r="L80" s="16"/>
      <c r="M80" s="16"/>
      <c r="N80" s="16"/>
      <c r="O80" s="16"/>
      <c r="P80" s="16"/>
      <c r="Q80" s="16"/>
      <c r="R80" s="16"/>
      <c r="S80" s="16" t="s">
        <v>4</v>
      </c>
      <c r="T80" s="20"/>
      <c r="U80" s="16"/>
      <c r="V80" s="16"/>
      <c r="W80" s="16"/>
      <c r="X80" s="20"/>
      <c r="Y80" s="20"/>
      <c r="Z80" s="20"/>
      <c r="AA80" s="16"/>
      <c r="AB80" s="20"/>
      <c r="AC80" s="16"/>
      <c r="AD80" s="40"/>
      <c r="AE80" s="16"/>
      <c r="AF80" s="40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40"/>
      <c r="AS80" s="16"/>
      <c r="AT80" s="16"/>
      <c r="AV80" s="16"/>
      <c r="AW80" s="16"/>
      <c r="AX80" s="16"/>
      <c r="AY80" s="18"/>
      <c r="AZ80" s="16"/>
      <c r="BA80" s="16"/>
      <c r="BB80" s="16"/>
      <c r="BC80" s="16"/>
    </row>
    <row r="81">
      <c r="A81" s="15"/>
      <c r="B81" s="35" t="s">
        <v>45</v>
      </c>
      <c r="C81" s="17" t="s">
        <v>89</v>
      </c>
      <c r="D81" s="20"/>
      <c r="E81" s="20"/>
      <c r="F81" s="20"/>
      <c r="G81" s="20"/>
      <c r="H81" s="20"/>
      <c r="I81" s="16"/>
      <c r="J81" s="20"/>
      <c r="K81" s="20"/>
      <c r="L81" s="16"/>
      <c r="M81" s="16"/>
      <c r="N81" s="16"/>
      <c r="O81" s="16"/>
      <c r="P81" s="16"/>
      <c r="Q81" s="16"/>
      <c r="R81" s="16"/>
      <c r="S81" s="16" t="s">
        <v>4</v>
      </c>
      <c r="T81" s="20"/>
      <c r="U81" s="16"/>
      <c r="V81" s="16"/>
      <c r="W81" s="16"/>
      <c r="X81" s="20"/>
      <c r="Y81" s="20"/>
      <c r="Z81" s="20"/>
      <c r="AA81" s="16"/>
      <c r="AB81" s="20"/>
      <c r="AC81" s="16"/>
      <c r="AD81" s="40"/>
      <c r="AE81" s="16"/>
      <c r="AF81" s="40"/>
      <c r="AG81" s="16"/>
      <c r="AH81" s="16"/>
      <c r="AI81" s="16"/>
      <c r="AJ81" s="16"/>
      <c r="AK81" s="16"/>
      <c r="AL81" s="16"/>
      <c r="AM81" s="16" t="s">
        <v>4</v>
      </c>
      <c r="AN81" s="16"/>
      <c r="AO81" s="16"/>
      <c r="AP81" s="16"/>
      <c r="AQ81" s="16"/>
      <c r="AR81" s="40"/>
      <c r="AS81" s="16" t="s">
        <v>4</v>
      </c>
      <c r="AT81" s="16"/>
      <c r="AV81" s="16"/>
      <c r="AW81" s="16"/>
      <c r="AX81" s="16"/>
      <c r="AY81" s="18"/>
      <c r="AZ81" s="16"/>
      <c r="BA81" s="16"/>
      <c r="BB81" s="16"/>
      <c r="BC81" s="16"/>
    </row>
    <row r="82">
      <c r="A82" s="15"/>
      <c r="B82" s="35" t="s">
        <v>46</v>
      </c>
      <c r="C82" s="30" t="s">
        <v>89</v>
      </c>
      <c r="D82" s="20"/>
      <c r="E82" s="20"/>
      <c r="F82" s="20"/>
      <c r="G82" s="20"/>
      <c r="H82" s="20"/>
      <c r="I82" s="16"/>
      <c r="J82" s="20"/>
      <c r="K82" s="20"/>
      <c r="L82" s="16"/>
      <c r="M82" s="16"/>
      <c r="N82" s="16"/>
      <c r="O82" s="16"/>
      <c r="P82" s="16"/>
      <c r="Q82" s="16"/>
      <c r="R82" s="16"/>
      <c r="S82" s="16" t="s">
        <v>4</v>
      </c>
      <c r="T82" s="20"/>
      <c r="U82" s="16"/>
      <c r="V82" s="16"/>
      <c r="W82" s="16"/>
      <c r="X82" s="20"/>
      <c r="Y82" s="20"/>
      <c r="Z82" s="20"/>
      <c r="AA82" s="16"/>
      <c r="AB82" s="20"/>
      <c r="AC82" s="16"/>
      <c r="AD82" s="40"/>
      <c r="AE82" s="16"/>
      <c r="AF82" s="40"/>
      <c r="AG82" s="16"/>
      <c r="AH82" s="16"/>
      <c r="AI82" s="16"/>
      <c r="AJ82" s="16"/>
      <c r="AK82" s="16"/>
      <c r="AL82" s="16"/>
      <c r="AM82" s="16"/>
      <c r="AN82" s="16" t="s">
        <v>4</v>
      </c>
      <c r="AO82" s="16"/>
      <c r="AP82" s="16"/>
      <c r="AQ82" s="16"/>
      <c r="AR82" s="40"/>
      <c r="AS82" s="16"/>
      <c r="AT82" s="16"/>
      <c r="AV82" s="16"/>
      <c r="AW82" s="16"/>
      <c r="AX82" s="16"/>
      <c r="AY82" s="18"/>
      <c r="AZ82" s="16"/>
      <c r="BA82" s="16"/>
      <c r="BB82" s="16"/>
      <c r="BC82" s="16"/>
    </row>
    <row r="83">
      <c r="A83" s="15"/>
      <c r="B83" s="35" t="s">
        <v>136</v>
      </c>
      <c r="C83" s="30" t="s">
        <v>89</v>
      </c>
      <c r="D83" s="20"/>
      <c r="E83" s="20"/>
      <c r="F83" s="20"/>
      <c r="G83" s="20"/>
      <c r="H83" s="20"/>
      <c r="I83" s="16"/>
      <c r="J83" s="20"/>
      <c r="K83" s="20"/>
      <c r="L83" s="16"/>
      <c r="M83" s="16"/>
      <c r="N83" s="16"/>
      <c r="O83" s="16"/>
      <c r="P83" s="16"/>
      <c r="Q83" s="16"/>
      <c r="R83" s="16"/>
      <c r="S83" s="16" t="s">
        <v>4</v>
      </c>
      <c r="T83" s="20"/>
      <c r="U83" s="16"/>
      <c r="V83" s="16"/>
      <c r="W83" s="16"/>
      <c r="X83" s="20"/>
      <c r="Y83" s="20"/>
      <c r="Z83" s="20"/>
      <c r="AA83" s="16"/>
      <c r="AB83" s="20"/>
      <c r="AC83" s="16"/>
      <c r="AD83" s="40"/>
      <c r="AE83" s="16"/>
      <c r="AF83" s="40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40"/>
      <c r="AS83" s="16"/>
      <c r="AT83" s="16"/>
      <c r="AV83" s="16"/>
      <c r="AW83" s="16"/>
      <c r="AX83" s="16"/>
      <c r="AY83" s="18"/>
      <c r="AZ83" s="16"/>
      <c r="BA83" s="16"/>
      <c r="BB83" s="16"/>
      <c r="BC83" s="16"/>
    </row>
    <row r="84">
      <c r="A84" s="15"/>
      <c r="B84" s="35" t="s">
        <v>48</v>
      </c>
      <c r="C84" s="30" t="s">
        <v>89</v>
      </c>
      <c r="D84" s="20"/>
      <c r="E84" s="20"/>
      <c r="F84" s="20"/>
      <c r="G84" s="20"/>
      <c r="H84" s="20"/>
      <c r="I84" s="16"/>
      <c r="J84" s="20"/>
      <c r="K84" s="20"/>
      <c r="L84" s="16"/>
      <c r="M84" s="16"/>
      <c r="N84" s="16"/>
      <c r="O84" s="16"/>
      <c r="P84" s="16"/>
      <c r="Q84" s="16"/>
      <c r="R84" s="16"/>
      <c r="S84" s="16" t="s">
        <v>4</v>
      </c>
      <c r="T84" s="20"/>
      <c r="U84" s="16"/>
      <c r="V84" s="16"/>
      <c r="W84" s="16"/>
      <c r="X84" s="20"/>
      <c r="Y84" s="20"/>
      <c r="Z84" s="20"/>
      <c r="AA84" s="16"/>
      <c r="AB84" s="20"/>
      <c r="AC84" s="16"/>
      <c r="AD84" s="40"/>
      <c r="AE84" s="16"/>
      <c r="AF84" s="40"/>
      <c r="AG84" s="16"/>
      <c r="AH84" s="16"/>
      <c r="AI84" s="16"/>
      <c r="AJ84" s="16"/>
      <c r="AK84" s="16"/>
      <c r="AL84" s="16"/>
      <c r="AM84" s="16"/>
      <c r="AN84" s="16" t="s">
        <v>4</v>
      </c>
      <c r="AO84" s="16"/>
      <c r="AP84" s="16"/>
      <c r="AQ84" s="16"/>
      <c r="AR84" s="40"/>
      <c r="AS84" s="16"/>
      <c r="AT84" s="16"/>
      <c r="AV84" s="16"/>
      <c r="AW84" s="16"/>
      <c r="AX84" s="16"/>
      <c r="AY84" s="18"/>
      <c r="AZ84" s="16"/>
      <c r="BA84" s="16"/>
      <c r="BB84" s="16"/>
      <c r="BC84" s="16"/>
    </row>
    <row r="85">
      <c r="A85" s="15"/>
      <c r="B85" s="35" t="s">
        <v>137</v>
      </c>
      <c r="C85" s="30" t="s">
        <v>89</v>
      </c>
      <c r="D85" s="20"/>
      <c r="E85" s="20"/>
      <c r="F85" s="20"/>
      <c r="G85" s="20"/>
      <c r="H85" s="20"/>
      <c r="I85" s="16"/>
      <c r="J85" s="20"/>
      <c r="K85" s="20"/>
      <c r="L85" s="16"/>
      <c r="M85" s="16"/>
      <c r="N85" s="16"/>
      <c r="O85" s="16"/>
      <c r="P85" s="16"/>
      <c r="Q85" s="16"/>
      <c r="R85" s="16"/>
      <c r="S85" s="16" t="s">
        <v>4</v>
      </c>
      <c r="T85" s="20"/>
      <c r="U85" s="16"/>
      <c r="V85" s="16"/>
      <c r="W85" s="16"/>
      <c r="X85" s="20"/>
      <c r="Y85" s="20"/>
      <c r="Z85" s="20"/>
      <c r="AA85" s="16"/>
      <c r="AB85" s="20"/>
      <c r="AC85" s="16"/>
      <c r="AD85" s="40"/>
      <c r="AE85" s="16"/>
      <c r="AF85" s="40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40"/>
      <c r="AS85" s="16"/>
      <c r="AT85" s="16"/>
      <c r="AV85" s="16"/>
      <c r="AW85" s="16"/>
      <c r="AX85" s="16"/>
      <c r="AY85" s="18"/>
      <c r="AZ85" s="16"/>
      <c r="BA85" s="16"/>
      <c r="BB85" s="16"/>
      <c r="BC85" s="16"/>
    </row>
    <row r="86">
      <c r="A86" s="15"/>
      <c r="B86" s="28" t="s">
        <v>79</v>
      </c>
      <c r="C86" s="30" t="s">
        <v>53</v>
      </c>
      <c r="D86" s="20"/>
      <c r="E86" s="20"/>
      <c r="F86" s="20"/>
      <c r="G86" s="20"/>
      <c r="H86" s="20"/>
      <c r="I86" s="16"/>
      <c r="J86" s="20"/>
      <c r="K86" s="20"/>
      <c r="L86" s="16"/>
      <c r="M86" s="16"/>
      <c r="N86" s="16"/>
      <c r="O86" s="16"/>
      <c r="P86" s="16"/>
      <c r="Q86" s="16"/>
      <c r="R86" s="16"/>
      <c r="S86" s="16"/>
      <c r="T86" s="16" t="s">
        <v>4</v>
      </c>
      <c r="U86" s="16"/>
      <c r="V86" s="16" t="s">
        <v>4</v>
      </c>
      <c r="W86" s="16"/>
      <c r="X86" s="20"/>
      <c r="Y86" s="20"/>
      <c r="Z86" s="20"/>
      <c r="AA86" s="16"/>
      <c r="AB86" s="20"/>
      <c r="AC86" s="16"/>
      <c r="AD86" s="40"/>
      <c r="AE86" s="16"/>
      <c r="AF86" s="40"/>
      <c r="AG86" s="16"/>
      <c r="AH86" s="16"/>
      <c r="AI86" s="16"/>
      <c r="AJ86" s="16"/>
      <c r="AK86" s="16"/>
      <c r="AL86" s="16" t="s">
        <v>4</v>
      </c>
      <c r="AM86" s="16"/>
      <c r="AN86" s="16" t="s">
        <v>4</v>
      </c>
      <c r="AO86" s="16"/>
      <c r="AP86" s="16"/>
      <c r="AQ86" s="16"/>
      <c r="AR86" s="40"/>
      <c r="AS86" s="16"/>
      <c r="AT86" s="16"/>
      <c r="AV86" s="16"/>
      <c r="AW86" s="16"/>
      <c r="AX86" s="16"/>
      <c r="AY86" s="18"/>
      <c r="AZ86" s="16"/>
      <c r="BA86" s="16"/>
      <c r="BB86" s="16"/>
      <c r="BC86" s="16"/>
    </row>
    <row r="87">
      <c r="A87" s="21"/>
      <c r="B87" s="41"/>
      <c r="C87" s="42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43"/>
      <c r="AE87" s="20"/>
      <c r="AF87" s="43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43"/>
      <c r="AS87" s="20"/>
      <c r="AT87" s="20"/>
      <c r="AV87" s="20"/>
      <c r="AW87" s="20"/>
      <c r="AX87" s="20"/>
      <c r="AY87" s="44"/>
      <c r="AZ87" s="20"/>
      <c r="BA87" s="20"/>
      <c r="BB87" s="20"/>
      <c r="BC87" s="20"/>
    </row>
    <row r="88">
      <c r="A88" s="45"/>
      <c r="B88" s="46"/>
      <c r="C88" s="42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43"/>
      <c r="AE88" s="20"/>
      <c r="AF88" s="43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43"/>
      <c r="AS88" s="20"/>
      <c r="AT88" s="20"/>
      <c r="AV88" s="20"/>
      <c r="AW88" s="20"/>
      <c r="AX88" s="20"/>
      <c r="AY88" s="44"/>
      <c r="AZ88" s="20"/>
      <c r="BA88" s="20"/>
      <c r="BB88" s="20"/>
      <c r="BC88" s="20"/>
    </row>
    <row r="89">
      <c r="A89" s="45"/>
      <c r="B89" s="46"/>
      <c r="C89" s="42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43"/>
      <c r="AE89" s="20"/>
      <c r="AF89" s="43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43"/>
      <c r="AS89" s="20"/>
      <c r="AT89" s="20"/>
      <c r="AV89" s="20"/>
      <c r="AW89" s="20"/>
      <c r="AX89" s="20"/>
      <c r="AY89" s="44"/>
      <c r="AZ89" s="20"/>
      <c r="BA89" s="20"/>
      <c r="BB89" s="20"/>
      <c r="BC89" s="20"/>
    </row>
    <row r="90" hidden="1">
      <c r="A90" s="47" t="s">
        <v>98</v>
      </c>
      <c r="B90" s="16"/>
      <c r="C90" s="16"/>
      <c r="D90" s="20"/>
      <c r="E90" s="20"/>
      <c r="F90" s="20"/>
      <c r="G90" s="20"/>
      <c r="H90" s="20"/>
      <c r="I90" s="20"/>
      <c r="J90" s="20"/>
      <c r="K90" s="20"/>
      <c r="L90" s="16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43"/>
      <c r="AE90" s="20"/>
      <c r="AF90" s="43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43"/>
      <c r="AS90" s="20"/>
      <c r="AT90" s="20"/>
      <c r="AV90" s="20"/>
      <c r="AW90" s="20"/>
      <c r="AX90" s="20"/>
      <c r="AY90" s="44"/>
      <c r="AZ90" s="20"/>
      <c r="BA90" s="20"/>
      <c r="BB90" s="20"/>
      <c r="BC90" s="20"/>
    </row>
    <row r="91" hidden="1">
      <c r="A91" s="15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43"/>
      <c r="AE91" s="20"/>
      <c r="AF91" s="43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43"/>
      <c r="AS91" s="20"/>
      <c r="AT91" s="20"/>
      <c r="AV91" s="20"/>
      <c r="AW91" s="20"/>
      <c r="AX91" s="20"/>
      <c r="AY91" s="44"/>
      <c r="AZ91" s="20"/>
      <c r="BA91" s="20"/>
      <c r="BB91" s="20"/>
      <c r="BC91" s="20"/>
    </row>
    <row r="92" hidden="1">
      <c r="A92" s="15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43"/>
      <c r="AE92" s="20"/>
      <c r="AF92" s="43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43"/>
      <c r="AS92" s="20"/>
      <c r="AT92" s="20"/>
      <c r="AV92" s="20"/>
      <c r="AW92" s="20"/>
      <c r="AX92" s="20"/>
      <c r="AY92" s="44"/>
      <c r="AZ92" s="20"/>
      <c r="BA92" s="20"/>
      <c r="BB92" s="20"/>
      <c r="BC92" s="20"/>
    </row>
    <row r="93" hidden="1">
      <c r="A93" s="15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43"/>
      <c r="AE93" s="20"/>
      <c r="AF93" s="43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43"/>
      <c r="AS93" s="20"/>
      <c r="AT93" s="20"/>
      <c r="AV93" s="20"/>
      <c r="AW93" s="20"/>
      <c r="AX93" s="20"/>
      <c r="AY93" s="44"/>
      <c r="AZ93" s="20"/>
      <c r="BA93" s="20"/>
      <c r="BB93" s="20"/>
      <c r="BC93" s="20"/>
    </row>
    <row r="94" hidden="1">
      <c r="A94" s="15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43"/>
      <c r="AE94" s="20"/>
      <c r="AF94" s="43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43"/>
      <c r="AS94" s="20"/>
      <c r="AT94" s="20"/>
      <c r="AV94" s="20"/>
      <c r="AW94" s="20"/>
      <c r="AX94" s="20"/>
      <c r="AY94" s="44"/>
      <c r="AZ94" s="20"/>
      <c r="BA94" s="20"/>
      <c r="BB94" s="20"/>
      <c r="BC94" s="20"/>
    </row>
    <row r="95" hidden="1">
      <c r="A95" s="15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43"/>
      <c r="AE95" s="20"/>
      <c r="AF95" s="43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43"/>
      <c r="AS95" s="20"/>
      <c r="AT95" s="20"/>
      <c r="AV95" s="20"/>
      <c r="AW95" s="20"/>
      <c r="AX95" s="20"/>
      <c r="AY95" s="44"/>
      <c r="AZ95" s="20"/>
      <c r="BA95" s="20"/>
      <c r="BB95" s="20"/>
      <c r="BC95" s="20"/>
    </row>
    <row r="96" hidden="1">
      <c r="A96" s="15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43"/>
      <c r="AE96" s="20"/>
      <c r="AF96" s="43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43"/>
      <c r="AS96" s="20"/>
      <c r="AT96" s="20"/>
      <c r="AV96" s="20"/>
      <c r="AW96" s="20"/>
      <c r="AX96" s="20"/>
      <c r="AY96" s="44"/>
      <c r="AZ96" s="20"/>
      <c r="BA96" s="20"/>
      <c r="BB96" s="20"/>
      <c r="BC96" s="20"/>
    </row>
    <row r="97" hidden="1">
      <c r="A97" s="15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43"/>
      <c r="AE97" s="20"/>
      <c r="AF97" s="43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43"/>
      <c r="AS97" s="20"/>
      <c r="AT97" s="20"/>
      <c r="AV97" s="20"/>
      <c r="AW97" s="20"/>
      <c r="AX97" s="20"/>
      <c r="AY97" s="44"/>
      <c r="AZ97" s="20"/>
      <c r="BA97" s="20"/>
      <c r="BB97" s="20"/>
      <c r="BC97" s="20"/>
    </row>
    <row r="98" hidden="1">
      <c r="A98" s="15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43"/>
      <c r="AE98" s="20"/>
      <c r="AF98" s="43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43"/>
      <c r="AS98" s="20"/>
      <c r="AT98" s="20"/>
      <c r="AV98" s="20"/>
      <c r="AW98" s="20"/>
      <c r="AX98" s="20"/>
      <c r="AY98" s="44"/>
      <c r="AZ98" s="20"/>
      <c r="BA98" s="20"/>
      <c r="BB98" s="20"/>
      <c r="BC98" s="20"/>
    </row>
    <row r="99" hidden="1">
      <c r="A99" s="21"/>
      <c r="B99" s="5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43"/>
      <c r="AE99" s="20"/>
      <c r="AF99" s="43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43"/>
      <c r="AS99" s="20"/>
      <c r="AT99" s="20"/>
      <c r="AV99" s="20"/>
      <c r="AW99" s="20"/>
      <c r="AX99" s="20"/>
      <c r="AY99" s="44"/>
      <c r="AZ99" s="20"/>
      <c r="BA99" s="20"/>
      <c r="BB99" s="20"/>
      <c r="BC99" s="20"/>
    </row>
    <row r="100">
      <c r="AD100" s="52"/>
      <c r="AF100" s="52"/>
      <c r="AR100" s="52"/>
      <c r="AY100" s="53"/>
    </row>
    <row r="101">
      <c r="AD101" s="52"/>
      <c r="AF101" s="52"/>
      <c r="AR101" s="52"/>
      <c r="AY101" s="53"/>
    </row>
    <row r="102">
      <c r="AD102" s="52"/>
      <c r="AF102" s="52"/>
      <c r="AR102" s="52"/>
      <c r="AY102" s="53"/>
    </row>
    <row r="103">
      <c r="AD103" s="52"/>
      <c r="AF103" s="52"/>
      <c r="AR103" s="52"/>
      <c r="AY103" s="53"/>
    </row>
    <row r="104" hidden="1">
      <c r="AD104" s="52"/>
      <c r="AF104" s="52"/>
      <c r="AR104" s="52"/>
      <c r="AY104" s="53"/>
    </row>
    <row r="105">
      <c r="AD105" s="52"/>
      <c r="AF105" s="52"/>
      <c r="AR105" s="52"/>
      <c r="AY105" s="53"/>
    </row>
    <row r="106">
      <c r="AD106" s="52"/>
      <c r="AF106" s="52"/>
      <c r="AR106" s="52"/>
      <c r="AY106" s="53"/>
    </row>
    <row r="107">
      <c r="AD107" s="52"/>
      <c r="AF107" s="52"/>
      <c r="AR107" s="52"/>
      <c r="AY107" s="53"/>
    </row>
    <row r="108">
      <c r="V108" s="54"/>
      <c r="W108" s="55"/>
      <c r="AD108" s="52"/>
      <c r="AF108" s="52"/>
      <c r="AR108" s="52"/>
      <c r="AY108" s="53"/>
    </row>
    <row r="109">
      <c r="AD109" s="52"/>
      <c r="AF109" s="52"/>
      <c r="AR109" s="52"/>
      <c r="AY109" s="53"/>
    </row>
    <row r="110">
      <c r="AD110" s="52"/>
      <c r="AF110" s="52"/>
      <c r="AR110" s="52"/>
      <c r="AY110" s="53"/>
    </row>
    <row r="111">
      <c r="AD111" s="52"/>
      <c r="AF111" s="52"/>
      <c r="AR111" s="52"/>
      <c r="AY111" s="53"/>
    </row>
    <row r="112">
      <c r="AD112" s="52"/>
      <c r="AF112" s="52"/>
      <c r="AR112" s="52"/>
      <c r="AY112" s="53"/>
    </row>
    <row r="113">
      <c r="AD113" s="52"/>
      <c r="AF113" s="52"/>
      <c r="AR113" s="52"/>
      <c r="AY113" s="53"/>
    </row>
    <row r="114">
      <c r="AD114" s="52"/>
      <c r="AF114" s="52"/>
      <c r="AR114" s="52"/>
      <c r="AY114" s="53"/>
    </row>
    <row r="115">
      <c r="AD115" s="52"/>
      <c r="AF115" s="52"/>
      <c r="AR115" s="52"/>
      <c r="AY115" s="53"/>
    </row>
    <row r="116">
      <c r="AD116" s="52"/>
      <c r="AF116" s="52"/>
      <c r="AR116" s="52"/>
      <c r="AY116" s="53"/>
    </row>
    <row r="117">
      <c r="AD117" s="52"/>
      <c r="AF117" s="52"/>
      <c r="AR117" s="52"/>
      <c r="AY117" s="53"/>
    </row>
    <row r="118">
      <c r="AD118" s="52"/>
      <c r="AF118" s="52"/>
      <c r="AR118" s="52"/>
      <c r="AY118" s="53"/>
    </row>
    <row r="119">
      <c r="AD119" s="52"/>
      <c r="AF119" s="52"/>
      <c r="AR119" s="52"/>
      <c r="AY119" s="53"/>
    </row>
    <row r="120">
      <c r="AD120" s="52"/>
      <c r="AF120" s="52"/>
      <c r="AR120" s="52"/>
      <c r="AU120" s="52"/>
      <c r="AY120" s="53"/>
    </row>
    <row r="121">
      <c r="AD121" s="52"/>
      <c r="AF121" s="52"/>
      <c r="AR121" s="52"/>
      <c r="AU121" s="52"/>
      <c r="AY121" s="53"/>
    </row>
    <row r="122">
      <c r="AD122" s="52"/>
      <c r="AF122" s="52"/>
      <c r="AR122" s="52"/>
      <c r="AU122" s="52"/>
      <c r="AY122" s="53"/>
    </row>
    <row r="123">
      <c r="A123" s="56"/>
      <c r="B123" s="57" t="s">
        <v>2</v>
      </c>
      <c r="C123" s="58"/>
      <c r="D123" s="59">
        <f t="shared" ref="D123:BC123" si="1">countifs($C$2:$C$94,"OM",D$2:D$94,"x")</f>
        <v>18</v>
      </c>
      <c r="E123" s="60">
        <f t="shared" si="1"/>
        <v>20</v>
      </c>
      <c r="F123" s="60">
        <f t="shared" si="1"/>
        <v>18</v>
      </c>
      <c r="G123" s="60">
        <f t="shared" si="1"/>
        <v>15</v>
      </c>
      <c r="H123" s="60">
        <f t="shared" si="1"/>
        <v>13</v>
      </c>
      <c r="I123" s="60">
        <f t="shared" si="1"/>
        <v>15</v>
      </c>
      <c r="J123" s="60">
        <f t="shared" si="1"/>
        <v>18</v>
      </c>
      <c r="K123" s="60">
        <f t="shared" si="1"/>
        <v>23</v>
      </c>
      <c r="L123" s="60">
        <f t="shared" si="1"/>
        <v>18</v>
      </c>
      <c r="M123" s="60">
        <f t="shared" si="1"/>
        <v>14</v>
      </c>
      <c r="N123" s="60">
        <f t="shared" si="1"/>
        <v>13</v>
      </c>
      <c r="O123" s="60">
        <f t="shared" si="1"/>
        <v>18</v>
      </c>
      <c r="P123" s="60">
        <f t="shared" si="1"/>
        <v>19</v>
      </c>
      <c r="Q123" s="60">
        <f t="shared" si="1"/>
        <v>16</v>
      </c>
      <c r="R123" s="60">
        <f t="shared" si="1"/>
        <v>16</v>
      </c>
      <c r="S123" s="60">
        <f t="shared" si="1"/>
        <v>19</v>
      </c>
      <c r="T123" s="60">
        <f t="shared" si="1"/>
        <v>17</v>
      </c>
      <c r="U123" s="60">
        <f t="shared" si="1"/>
        <v>17</v>
      </c>
      <c r="V123" s="60">
        <f t="shared" si="1"/>
        <v>14</v>
      </c>
      <c r="W123" s="60">
        <f t="shared" si="1"/>
        <v>18</v>
      </c>
      <c r="X123" s="60">
        <f t="shared" si="1"/>
        <v>16</v>
      </c>
      <c r="Y123" s="60">
        <f t="shared" si="1"/>
        <v>15</v>
      </c>
      <c r="Z123" s="60">
        <f t="shared" si="1"/>
        <v>12</v>
      </c>
      <c r="AA123" s="60">
        <f t="shared" si="1"/>
        <v>11</v>
      </c>
      <c r="AB123" s="60">
        <f t="shared" si="1"/>
        <v>16</v>
      </c>
      <c r="AC123" s="60">
        <f t="shared" si="1"/>
        <v>16</v>
      </c>
      <c r="AD123" s="63">
        <f t="shared" si="1"/>
        <v>0</v>
      </c>
      <c r="AE123" s="60">
        <f t="shared" si="1"/>
        <v>16</v>
      </c>
      <c r="AF123" s="63">
        <f t="shared" si="1"/>
        <v>0</v>
      </c>
      <c r="AG123" s="60">
        <f t="shared" si="1"/>
        <v>20</v>
      </c>
      <c r="AH123" s="60">
        <f t="shared" si="1"/>
        <v>8</v>
      </c>
      <c r="AI123" s="60">
        <f t="shared" si="1"/>
        <v>15</v>
      </c>
      <c r="AJ123" s="60">
        <f t="shared" si="1"/>
        <v>13</v>
      </c>
      <c r="AK123" s="60">
        <f t="shared" si="1"/>
        <v>16</v>
      </c>
      <c r="AL123" s="60">
        <f t="shared" si="1"/>
        <v>17</v>
      </c>
      <c r="AM123" s="60">
        <f t="shared" si="1"/>
        <v>15</v>
      </c>
      <c r="AN123" s="60">
        <f t="shared" si="1"/>
        <v>16</v>
      </c>
      <c r="AO123" s="60">
        <f t="shared" si="1"/>
        <v>8</v>
      </c>
      <c r="AP123" s="60">
        <f t="shared" si="1"/>
        <v>11</v>
      </c>
      <c r="AQ123" s="60">
        <f t="shared" si="1"/>
        <v>13</v>
      </c>
      <c r="AR123" s="63">
        <f t="shared" si="1"/>
        <v>0</v>
      </c>
      <c r="AS123" s="60">
        <f t="shared" si="1"/>
        <v>9</v>
      </c>
      <c r="AT123" s="60">
        <f t="shared" si="1"/>
        <v>17</v>
      </c>
      <c r="AU123" s="63">
        <f t="shared" si="1"/>
        <v>0</v>
      </c>
      <c r="AV123" s="60">
        <f t="shared" si="1"/>
        <v>16</v>
      </c>
      <c r="AW123" s="60">
        <f t="shared" si="1"/>
        <v>21</v>
      </c>
      <c r="AX123" s="60">
        <f t="shared" si="1"/>
        <v>21</v>
      </c>
      <c r="AY123" s="62">
        <f t="shared" si="1"/>
        <v>0</v>
      </c>
      <c r="AZ123" s="60">
        <f t="shared" si="1"/>
        <v>13</v>
      </c>
      <c r="BA123" s="60">
        <f t="shared" si="1"/>
        <v>13</v>
      </c>
      <c r="BB123" s="60">
        <f t="shared" si="1"/>
        <v>12</v>
      </c>
      <c r="BC123" s="60">
        <f t="shared" si="1"/>
        <v>13</v>
      </c>
    </row>
    <row r="124">
      <c r="A124" s="64"/>
      <c r="B124" s="65" t="s">
        <v>53</v>
      </c>
      <c r="D124" s="66">
        <f t="shared" ref="D124:BC124" si="2">countifs($C$2:$C$94,"RN",D$2:D$94,"x")</f>
        <v>3</v>
      </c>
      <c r="E124" s="66">
        <f t="shared" si="2"/>
        <v>3</v>
      </c>
      <c r="F124" s="66">
        <f t="shared" si="2"/>
        <v>3</v>
      </c>
      <c r="G124" s="66">
        <f t="shared" si="2"/>
        <v>1</v>
      </c>
      <c r="H124" s="66">
        <f t="shared" si="2"/>
        <v>2</v>
      </c>
      <c r="I124" s="66">
        <f t="shared" si="2"/>
        <v>3</v>
      </c>
      <c r="J124" s="66">
        <f t="shared" si="2"/>
        <v>1</v>
      </c>
      <c r="K124" s="66">
        <f t="shared" si="2"/>
        <v>1</v>
      </c>
      <c r="L124" s="66">
        <f t="shared" si="2"/>
        <v>4</v>
      </c>
      <c r="M124" s="66">
        <f t="shared" si="2"/>
        <v>1</v>
      </c>
      <c r="N124" s="66">
        <f t="shared" si="2"/>
        <v>1</v>
      </c>
      <c r="O124" s="66">
        <f t="shared" si="2"/>
        <v>6</v>
      </c>
      <c r="P124" s="66">
        <f t="shared" si="2"/>
        <v>2</v>
      </c>
      <c r="Q124" s="66">
        <f t="shared" si="2"/>
        <v>3</v>
      </c>
      <c r="R124" s="66">
        <f t="shared" si="2"/>
        <v>3</v>
      </c>
      <c r="S124" s="66">
        <f t="shared" si="2"/>
        <v>4</v>
      </c>
      <c r="T124" s="66">
        <f t="shared" si="2"/>
        <v>5</v>
      </c>
      <c r="U124" s="66">
        <f t="shared" si="2"/>
        <v>5</v>
      </c>
      <c r="V124" s="66">
        <f t="shared" si="2"/>
        <v>8</v>
      </c>
      <c r="W124" s="66">
        <f t="shared" si="2"/>
        <v>6</v>
      </c>
      <c r="X124" s="66">
        <f t="shared" si="2"/>
        <v>6</v>
      </c>
      <c r="Y124" s="66">
        <f t="shared" si="2"/>
        <v>9</v>
      </c>
      <c r="Z124" s="66">
        <f t="shared" si="2"/>
        <v>10</v>
      </c>
      <c r="AA124" s="66">
        <f t="shared" si="2"/>
        <v>6</v>
      </c>
      <c r="AB124" s="66">
        <f t="shared" si="2"/>
        <v>7</v>
      </c>
      <c r="AC124" s="66">
        <f t="shared" si="2"/>
        <v>7</v>
      </c>
      <c r="AD124" s="69">
        <f t="shared" si="2"/>
        <v>0</v>
      </c>
      <c r="AE124" s="66">
        <f t="shared" si="2"/>
        <v>6</v>
      </c>
      <c r="AF124" s="69">
        <f t="shared" si="2"/>
        <v>0</v>
      </c>
      <c r="AG124" s="66">
        <f t="shared" si="2"/>
        <v>8</v>
      </c>
      <c r="AH124" s="66">
        <f t="shared" si="2"/>
        <v>5</v>
      </c>
      <c r="AI124" s="66">
        <f t="shared" si="2"/>
        <v>3</v>
      </c>
      <c r="AJ124" s="66">
        <f t="shared" si="2"/>
        <v>6</v>
      </c>
      <c r="AK124" s="66">
        <f t="shared" si="2"/>
        <v>6</v>
      </c>
      <c r="AL124" s="66">
        <f t="shared" si="2"/>
        <v>5</v>
      </c>
      <c r="AM124" s="66">
        <f t="shared" si="2"/>
        <v>7</v>
      </c>
      <c r="AN124" s="66">
        <f t="shared" si="2"/>
        <v>6</v>
      </c>
      <c r="AO124" s="66">
        <f t="shared" si="2"/>
        <v>5</v>
      </c>
      <c r="AP124" s="66">
        <f t="shared" si="2"/>
        <v>6</v>
      </c>
      <c r="AQ124" s="66">
        <f t="shared" si="2"/>
        <v>4</v>
      </c>
      <c r="AR124" s="69">
        <f t="shared" si="2"/>
        <v>0</v>
      </c>
      <c r="AS124" s="66">
        <f t="shared" si="2"/>
        <v>6</v>
      </c>
      <c r="AT124" s="66">
        <f t="shared" si="2"/>
        <v>5</v>
      </c>
      <c r="AU124" s="69">
        <f t="shared" si="2"/>
        <v>0</v>
      </c>
      <c r="AV124" s="66">
        <f t="shared" si="2"/>
        <v>6</v>
      </c>
      <c r="AW124" s="66">
        <f t="shared" si="2"/>
        <v>5</v>
      </c>
      <c r="AX124" s="66">
        <f t="shared" si="2"/>
        <v>5</v>
      </c>
      <c r="AY124" s="68">
        <f t="shared" si="2"/>
        <v>0</v>
      </c>
      <c r="AZ124" s="66">
        <f t="shared" si="2"/>
        <v>4</v>
      </c>
      <c r="BA124" s="66">
        <f t="shared" si="2"/>
        <v>4</v>
      </c>
      <c r="BB124" s="66">
        <f t="shared" si="2"/>
        <v>4</v>
      </c>
      <c r="BC124" s="66">
        <f t="shared" si="2"/>
        <v>4</v>
      </c>
    </row>
    <row r="125">
      <c r="A125" s="70"/>
      <c r="B125" s="71" t="s">
        <v>30</v>
      </c>
      <c r="D125" s="66">
        <f t="shared" ref="D125:BC125" si="3">countifs($C$2:$C$94,"XT",D$2:D$94,"x")</f>
        <v>9</v>
      </c>
      <c r="E125" s="66">
        <f t="shared" si="3"/>
        <v>7</v>
      </c>
      <c r="F125" s="66">
        <f t="shared" si="3"/>
        <v>8</v>
      </c>
      <c r="G125" s="66">
        <f t="shared" si="3"/>
        <v>10</v>
      </c>
      <c r="H125" s="66">
        <f t="shared" si="3"/>
        <v>6</v>
      </c>
      <c r="I125" s="66">
        <f t="shared" si="3"/>
        <v>7</v>
      </c>
      <c r="J125" s="66">
        <f t="shared" si="3"/>
        <v>8</v>
      </c>
      <c r="K125" s="66">
        <f t="shared" si="3"/>
        <v>9</v>
      </c>
      <c r="L125" s="66">
        <f t="shared" si="3"/>
        <v>8</v>
      </c>
      <c r="M125" s="66">
        <f t="shared" si="3"/>
        <v>9</v>
      </c>
      <c r="N125" s="66">
        <f t="shared" si="3"/>
        <v>7</v>
      </c>
      <c r="O125" s="66">
        <f t="shared" si="3"/>
        <v>11</v>
      </c>
      <c r="P125" s="66">
        <f t="shared" si="3"/>
        <v>11</v>
      </c>
      <c r="Q125" s="66">
        <f t="shared" si="3"/>
        <v>10</v>
      </c>
      <c r="R125" s="66">
        <f t="shared" si="3"/>
        <v>12</v>
      </c>
      <c r="S125" s="66">
        <f t="shared" si="3"/>
        <v>13</v>
      </c>
      <c r="T125" s="66">
        <f t="shared" si="3"/>
        <v>11</v>
      </c>
      <c r="U125" s="66">
        <f t="shared" si="3"/>
        <v>11</v>
      </c>
      <c r="V125" s="66">
        <f t="shared" si="3"/>
        <v>9</v>
      </c>
      <c r="W125" s="66">
        <f t="shared" si="3"/>
        <v>10</v>
      </c>
      <c r="X125" s="66">
        <f t="shared" si="3"/>
        <v>12</v>
      </c>
      <c r="Y125" s="66">
        <f t="shared" si="3"/>
        <v>12</v>
      </c>
      <c r="Z125" s="66">
        <f t="shared" si="3"/>
        <v>10</v>
      </c>
      <c r="AA125" s="66">
        <f t="shared" si="3"/>
        <v>7</v>
      </c>
      <c r="AB125" s="66">
        <f t="shared" si="3"/>
        <v>11</v>
      </c>
      <c r="AC125" s="66">
        <f t="shared" si="3"/>
        <v>9</v>
      </c>
      <c r="AD125" s="69">
        <f t="shared" si="3"/>
        <v>0</v>
      </c>
      <c r="AE125" s="66">
        <f t="shared" si="3"/>
        <v>10</v>
      </c>
      <c r="AF125" s="69">
        <f t="shared" si="3"/>
        <v>0</v>
      </c>
      <c r="AG125" s="66">
        <f t="shared" si="3"/>
        <v>8</v>
      </c>
      <c r="AH125" s="66">
        <f t="shared" si="3"/>
        <v>5</v>
      </c>
      <c r="AI125" s="66">
        <f t="shared" si="3"/>
        <v>10</v>
      </c>
      <c r="AJ125" s="66">
        <f t="shared" si="3"/>
        <v>6</v>
      </c>
      <c r="AK125" s="66">
        <f t="shared" si="3"/>
        <v>8</v>
      </c>
      <c r="AL125" s="66">
        <f t="shared" si="3"/>
        <v>12</v>
      </c>
      <c r="AM125" s="66">
        <f t="shared" si="3"/>
        <v>13</v>
      </c>
      <c r="AN125" s="66">
        <f t="shared" si="3"/>
        <v>6</v>
      </c>
      <c r="AO125" s="66">
        <f t="shared" si="3"/>
        <v>5</v>
      </c>
      <c r="AP125" s="66">
        <f t="shared" si="3"/>
        <v>10</v>
      </c>
      <c r="AQ125" s="66">
        <f t="shared" si="3"/>
        <v>10</v>
      </c>
      <c r="AR125" s="69">
        <f t="shared" si="3"/>
        <v>0</v>
      </c>
      <c r="AS125" s="66">
        <f t="shared" si="3"/>
        <v>8</v>
      </c>
      <c r="AT125" s="66">
        <f t="shared" si="3"/>
        <v>11</v>
      </c>
      <c r="AU125" s="69">
        <f t="shared" si="3"/>
        <v>0</v>
      </c>
      <c r="AV125" s="66">
        <f t="shared" si="3"/>
        <v>10</v>
      </c>
      <c r="AW125" s="66">
        <f t="shared" si="3"/>
        <v>10</v>
      </c>
      <c r="AX125" s="66">
        <f t="shared" si="3"/>
        <v>10</v>
      </c>
      <c r="AY125" s="68">
        <f t="shared" si="3"/>
        <v>0</v>
      </c>
      <c r="AZ125" s="66">
        <f t="shared" si="3"/>
        <v>11</v>
      </c>
      <c r="BA125" s="66">
        <f t="shared" si="3"/>
        <v>11</v>
      </c>
      <c r="BB125" s="66">
        <f t="shared" si="3"/>
        <v>11</v>
      </c>
      <c r="BC125" s="66">
        <f t="shared" si="3"/>
        <v>11</v>
      </c>
    </row>
    <row r="126">
      <c r="A126" s="72"/>
      <c r="B126" s="73" t="s">
        <v>58</v>
      </c>
      <c r="D126" s="66">
        <f t="shared" ref="D126:BC126" si="4">countifs($C$2:$C$94,"FT",D$2:D$94,"x")</f>
        <v>0</v>
      </c>
      <c r="E126" s="66">
        <f t="shared" si="4"/>
        <v>0</v>
      </c>
      <c r="F126" s="66">
        <f t="shared" si="4"/>
        <v>0</v>
      </c>
      <c r="G126" s="66">
        <f t="shared" si="4"/>
        <v>0</v>
      </c>
      <c r="H126" s="66">
        <f t="shared" si="4"/>
        <v>0</v>
      </c>
      <c r="I126" s="66">
        <f t="shared" si="4"/>
        <v>0</v>
      </c>
      <c r="J126" s="66">
        <f t="shared" si="4"/>
        <v>0</v>
      </c>
      <c r="K126" s="66">
        <f t="shared" si="4"/>
        <v>0</v>
      </c>
      <c r="L126" s="66">
        <f t="shared" si="4"/>
        <v>1</v>
      </c>
      <c r="M126" s="66">
        <f t="shared" si="4"/>
        <v>0</v>
      </c>
      <c r="N126" s="66">
        <f t="shared" si="4"/>
        <v>0</v>
      </c>
      <c r="O126" s="66">
        <f t="shared" si="4"/>
        <v>0</v>
      </c>
      <c r="P126" s="66">
        <f t="shared" si="4"/>
        <v>0</v>
      </c>
      <c r="Q126" s="66">
        <f t="shared" si="4"/>
        <v>0</v>
      </c>
      <c r="R126" s="66">
        <f t="shared" si="4"/>
        <v>0</v>
      </c>
      <c r="S126" s="66">
        <f t="shared" si="4"/>
        <v>0</v>
      </c>
      <c r="T126" s="66">
        <f t="shared" si="4"/>
        <v>0</v>
      </c>
      <c r="U126" s="66">
        <f t="shared" si="4"/>
        <v>1</v>
      </c>
      <c r="V126" s="66">
        <f t="shared" si="4"/>
        <v>1</v>
      </c>
      <c r="W126" s="66">
        <f t="shared" si="4"/>
        <v>1</v>
      </c>
      <c r="X126" s="66">
        <f t="shared" si="4"/>
        <v>0</v>
      </c>
      <c r="Y126" s="66">
        <f t="shared" si="4"/>
        <v>0</v>
      </c>
      <c r="Z126" s="66">
        <f t="shared" si="4"/>
        <v>0</v>
      </c>
      <c r="AA126" s="66">
        <f t="shared" si="4"/>
        <v>0</v>
      </c>
      <c r="AB126" s="66">
        <f t="shared" si="4"/>
        <v>0</v>
      </c>
      <c r="AC126" s="66">
        <f t="shared" si="4"/>
        <v>0</v>
      </c>
      <c r="AD126" s="69">
        <f t="shared" si="4"/>
        <v>0</v>
      </c>
      <c r="AE126" s="66">
        <f t="shared" si="4"/>
        <v>0</v>
      </c>
      <c r="AF126" s="69">
        <f t="shared" si="4"/>
        <v>0</v>
      </c>
      <c r="AG126" s="66">
        <f t="shared" si="4"/>
        <v>2</v>
      </c>
      <c r="AH126" s="66">
        <f t="shared" si="4"/>
        <v>1</v>
      </c>
      <c r="AI126" s="66">
        <f t="shared" si="4"/>
        <v>0</v>
      </c>
      <c r="AJ126" s="66">
        <f t="shared" si="4"/>
        <v>1</v>
      </c>
      <c r="AK126" s="66">
        <f t="shared" si="4"/>
        <v>0</v>
      </c>
      <c r="AL126" s="66">
        <f t="shared" si="4"/>
        <v>0</v>
      </c>
      <c r="AM126" s="66">
        <f t="shared" si="4"/>
        <v>2</v>
      </c>
      <c r="AN126" s="66">
        <f t="shared" si="4"/>
        <v>0</v>
      </c>
      <c r="AO126" s="66">
        <f t="shared" si="4"/>
        <v>0</v>
      </c>
      <c r="AP126" s="66">
        <f t="shared" si="4"/>
        <v>0</v>
      </c>
      <c r="AQ126" s="66">
        <f t="shared" si="4"/>
        <v>0</v>
      </c>
      <c r="AR126" s="69">
        <f t="shared" si="4"/>
        <v>0</v>
      </c>
      <c r="AS126" s="66">
        <f t="shared" si="4"/>
        <v>1</v>
      </c>
      <c r="AT126" s="66">
        <f t="shared" si="4"/>
        <v>1</v>
      </c>
      <c r="AU126" s="69">
        <f t="shared" si="4"/>
        <v>0</v>
      </c>
      <c r="AV126" s="66">
        <f t="shared" si="4"/>
        <v>0</v>
      </c>
      <c r="AW126" s="66">
        <f t="shared" si="4"/>
        <v>0</v>
      </c>
      <c r="AX126" s="66">
        <f t="shared" si="4"/>
        <v>0</v>
      </c>
      <c r="AY126" s="68">
        <f t="shared" si="4"/>
        <v>0</v>
      </c>
      <c r="AZ126" s="66">
        <f t="shared" si="4"/>
        <v>0</v>
      </c>
      <c r="BA126" s="66">
        <f t="shared" si="4"/>
        <v>0</v>
      </c>
      <c r="BB126" s="66">
        <f t="shared" si="4"/>
        <v>0</v>
      </c>
      <c r="BC126" s="66">
        <f t="shared" si="4"/>
        <v>0</v>
      </c>
    </row>
    <row r="127">
      <c r="A127" s="74"/>
      <c r="B127" s="75" t="s">
        <v>98</v>
      </c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80"/>
      <c r="AE127" s="76"/>
      <c r="AF127" s="80"/>
      <c r="AG127" s="76"/>
      <c r="AH127" s="76"/>
      <c r="AI127" s="76"/>
      <c r="AJ127" s="76"/>
      <c r="AK127" s="76"/>
      <c r="AL127" s="76"/>
      <c r="AM127" s="76"/>
      <c r="AN127" s="76"/>
      <c r="AO127" s="76"/>
      <c r="AP127" s="76"/>
      <c r="AQ127" s="76"/>
      <c r="AR127" s="80"/>
      <c r="AS127" s="76"/>
      <c r="AT127" s="76"/>
      <c r="AU127" s="80"/>
      <c r="AV127" s="76"/>
      <c r="AW127" s="76"/>
      <c r="AX127" s="76"/>
      <c r="AY127" s="79"/>
      <c r="AZ127" s="76"/>
      <c r="BA127" s="76"/>
      <c r="BB127" s="76"/>
      <c r="BC127" s="76"/>
    </row>
    <row r="128">
      <c r="A128" s="81"/>
      <c r="B128" s="82" t="s">
        <v>89</v>
      </c>
      <c r="D128" s="66">
        <f t="shared" ref="D128:BC128" si="5">countifs($C$2:$C$94,"V",D$2:D$94,"x")</f>
        <v>0</v>
      </c>
      <c r="E128" s="66">
        <f t="shared" si="5"/>
        <v>0</v>
      </c>
      <c r="F128" s="66">
        <f t="shared" si="5"/>
        <v>0</v>
      </c>
      <c r="G128" s="66">
        <f t="shared" si="5"/>
        <v>0</v>
      </c>
      <c r="H128" s="66">
        <f t="shared" si="5"/>
        <v>1</v>
      </c>
      <c r="I128" s="66">
        <f t="shared" si="5"/>
        <v>1</v>
      </c>
      <c r="J128" s="66">
        <f t="shared" si="5"/>
        <v>1</v>
      </c>
      <c r="K128" s="66">
        <f t="shared" si="5"/>
        <v>0</v>
      </c>
      <c r="L128" s="66">
        <f t="shared" si="5"/>
        <v>2</v>
      </c>
      <c r="M128" s="66">
        <f t="shared" si="5"/>
        <v>3</v>
      </c>
      <c r="N128" s="66">
        <f t="shared" si="5"/>
        <v>0</v>
      </c>
      <c r="O128" s="66">
        <f t="shared" si="5"/>
        <v>1</v>
      </c>
      <c r="P128" s="66">
        <f t="shared" si="5"/>
        <v>0</v>
      </c>
      <c r="Q128" s="66">
        <f t="shared" si="5"/>
        <v>1</v>
      </c>
      <c r="R128" s="66">
        <f t="shared" si="5"/>
        <v>0</v>
      </c>
      <c r="S128" s="66">
        <f t="shared" si="5"/>
        <v>7</v>
      </c>
      <c r="T128" s="66">
        <f t="shared" si="5"/>
        <v>0</v>
      </c>
      <c r="U128" s="66">
        <f t="shared" si="5"/>
        <v>0</v>
      </c>
      <c r="V128" s="66">
        <f t="shared" si="5"/>
        <v>0</v>
      </c>
      <c r="W128" s="66">
        <f t="shared" si="5"/>
        <v>0</v>
      </c>
      <c r="X128" s="66">
        <f t="shared" si="5"/>
        <v>0</v>
      </c>
      <c r="Y128" s="66">
        <f t="shared" si="5"/>
        <v>0</v>
      </c>
      <c r="Z128" s="66">
        <f t="shared" si="5"/>
        <v>0</v>
      </c>
      <c r="AA128" s="66">
        <f t="shared" si="5"/>
        <v>0</v>
      </c>
      <c r="AB128" s="66">
        <f t="shared" si="5"/>
        <v>0</v>
      </c>
      <c r="AC128" s="66">
        <f t="shared" si="5"/>
        <v>0</v>
      </c>
      <c r="AD128" s="69">
        <f t="shared" si="5"/>
        <v>0</v>
      </c>
      <c r="AE128" s="66">
        <f t="shared" si="5"/>
        <v>0</v>
      </c>
      <c r="AF128" s="69">
        <f t="shared" si="5"/>
        <v>0</v>
      </c>
      <c r="AG128" s="66">
        <f t="shared" si="5"/>
        <v>0</v>
      </c>
      <c r="AH128" s="66">
        <f t="shared" si="5"/>
        <v>0</v>
      </c>
      <c r="AI128" s="66">
        <f t="shared" si="5"/>
        <v>0</v>
      </c>
      <c r="AJ128" s="66">
        <f t="shared" si="5"/>
        <v>0</v>
      </c>
      <c r="AK128" s="66">
        <f t="shared" si="5"/>
        <v>0</v>
      </c>
      <c r="AL128" s="66">
        <f t="shared" si="5"/>
        <v>0</v>
      </c>
      <c r="AM128" s="66">
        <f t="shared" si="5"/>
        <v>1</v>
      </c>
      <c r="AN128" s="66">
        <f t="shared" si="5"/>
        <v>2</v>
      </c>
      <c r="AO128" s="66">
        <f t="shared" si="5"/>
        <v>0</v>
      </c>
      <c r="AP128" s="66">
        <f t="shared" si="5"/>
        <v>0</v>
      </c>
      <c r="AQ128" s="66">
        <f t="shared" si="5"/>
        <v>0</v>
      </c>
      <c r="AR128" s="69">
        <f t="shared" si="5"/>
        <v>0</v>
      </c>
      <c r="AS128" s="66">
        <f t="shared" si="5"/>
        <v>1</v>
      </c>
      <c r="AT128" s="66">
        <f t="shared" si="5"/>
        <v>0</v>
      </c>
      <c r="AU128" s="69">
        <f t="shared" si="5"/>
        <v>0</v>
      </c>
      <c r="AV128" s="66">
        <f t="shared" si="5"/>
        <v>0</v>
      </c>
      <c r="AW128" s="66">
        <f t="shared" si="5"/>
        <v>0</v>
      </c>
      <c r="AX128" s="66">
        <f t="shared" si="5"/>
        <v>0</v>
      </c>
      <c r="AY128" s="68">
        <f t="shared" si="5"/>
        <v>0</v>
      </c>
      <c r="AZ128" s="66">
        <f t="shared" si="5"/>
        <v>0</v>
      </c>
      <c r="BA128" s="66">
        <f t="shared" si="5"/>
        <v>0</v>
      </c>
      <c r="BB128" s="66">
        <f t="shared" si="5"/>
        <v>0</v>
      </c>
      <c r="BC128" s="66">
        <f t="shared" si="5"/>
        <v>0</v>
      </c>
    </row>
    <row r="129">
      <c r="A129" s="83"/>
      <c r="B129" s="84" t="s">
        <v>99</v>
      </c>
      <c r="C129" s="58"/>
      <c r="D129" s="60">
        <f t="shared" ref="D129:BC129" si="6">D126+D123+D124+D125+D128</f>
        <v>30</v>
      </c>
      <c r="E129" s="60">
        <f t="shared" si="6"/>
        <v>30</v>
      </c>
      <c r="F129" s="60">
        <f t="shared" si="6"/>
        <v>29</v>
      </c>
      <c r="G129" s="60">
        <f t="shared" si="6"/>
        <v>26</v>
      </c>
      <c r="H129" s="60">
        <f t="shared" si="6"/>
        <v>22</v>
      </c>
      <c r="I129" s="60">
        <f t="shared" si="6"/>
        <v>26</v>
      </c>
      <c r="J129" s="60">
        <f t="shared" si="6"/>
        <v>28</v>
      </c>
      <c r="K129" s="60">
        <f t="shared" si="6"/>
        <v>33</v>
      </c>
      <c r="L129" s="60">
        <f t="shared" si="6"/>
        <v>33</v>
      </c>
      <c r="M129" s="60">
        <f t="shared" si="6"/>
        <v>27</v>
      </c>
      <c r="N129" s="60">
        <f t="shared" si="6"/>
        <v>21</v>
      </c>
      <c r="O129" s="60">
        <f t="shared" si="6"/>
        <v>36</v>
      </c>
      <c r="P129" s="60">
        <f t="shared" si="6"/>
        <v>32</v>
      </c>
      <c r="Q129" s="60">
        <f t="shared" si="6"/>
        <v>30</v>
      </c>
      <c r="R129" s="60">
        <f t="shared" si="6"/>
        <v>31</v>
      </c>
      <c r="S129" s="60">
        <f t="shared" si="6"/>
        <v>43</v>
      </c>
      <c r="T129" s="60">
        <f t="shared" si="6"/>
        <v>33</v>
      </c>
      <c r="U129" s="60">
        <f t="shared" si="6"/>
        <v>34</v>
      </c>
      <c r="V129" s="60">
        <f t="shared" si="6"/>
        <v>32</v>
      </c>
      <c r="W129" s="60">
        <f t="shared" si="6"/>
        <v>35</v>
      </c>
      <c r="X129" s="60">
        <f t="shared" si="6"/>
        <v>34</v>
      </c>
      <c r="Y129" s="60">
        <f t="shared" si="6"/>
        <v>36</v>
      </c>
      <c r="Z129" s="60">
        <f t="shared" si="6"/>
        <v>32</v>
      </c>
      <c r="AA129" s="60">
        <f t="shared" si="6"/>
        <v>24</v>
      </c>
      <c r="AB129" s="60">
        <f t="shared" si="6"/>
        <v>34</v>
      </c>
      <c r="AC129" s="60">
        <f t="shared" si="6"/>
        <v>32</v>
      </c>
      <c r="AD129" s="63">
        <f t="shared" si="6"/>
        <v>0</v>
      </c>
      <c r="AE129" s="60">
        <f t="shared" si="6"/>
        <v>32</v>
      </c>
      <c r="AF129" s="63">
        <f t="shared" si="6"/>
        <v>0</v>
      </c>
      <c r="AG129" s="60">
        <f t="shared" si="6"/>
        <v>38</v>
      </c>
      <c r="AH129" s="60">
        <f t="shared" si="6"/>
        <v>19</v>
      </c>
      <c r="AI129" s="60">
        <f t="shared" si="6"/>
        <v>28</v>
      </c>
      <c r="AJ129" s="60">
        <f t="shared" si="6"/>
        <v>26</v>
      </c>
      <c r="AK129" s="60">
        <f t="shared" si="6"/>
        <v>30</v>
      </c>
      <c r="AL129" s="60">
        <f t="shared" si="6"/>
        <v>34</v>
      </c>
      <c r="AM129" s="60">
        <f t="shared" si="6"/>
        <v>38</v>
      </c>
      <c r="AN129" s="60">
        <f t="shared" si="6"/>
        <v>30</v>
      </c>
      <c r="AO129" s="60">
        <f t="shared" si="6"/>
        <v>18</v>
      </c>
      <c r="AP129" s="60">
        <f t="shared" si="6"/>
        <v>27</v>
      </c>
      <c r="AQ129" s="60">
        <f t="shared" si="6"/>
        <v>27</v>
      </c>
      <c r="AR129" s="63">
        <f t="shared" si="6"/>
        <v>0</v>
      </c>
      <c r="AS129" s="60">
        <f t="shared" si="6"/>
        <v>25</v>
      </c>
      <c r="AT129" s="60">
        <f t="shared" si="6"/>
        <v>34</v>
      </c>
      <c r="AU129" s="63">
        <f t="shared" si="6"/>
        <v>0</v>
      </c>
      <c r="AV129" s="60">
        <f t="shared" si="6"/>
        <v>32</v>
      </c>
      <c r="AW129" s="60">
        <f t="shared" si="6"/>
        <v>36</v>
      </c>
      <c r="AX129" s="60">
        <f t="shared" si="6"/>
        <v>36</v>
      </c>
      <c r="AY129" s="62">
        <f t="shared" si="6"/>
        <v>0</v>
      </c>
      <c r="AZ129" s="60">
        <f t="shared" si="6"/>
        <v>28</v>
      </c>
      <c r="BA129" s="60">
        <f t="shared" si="6"/>
        <v>28</v>
      </c>
      <c r="BB129" s="60">
        <f t="shared" si="6"/>
        <v>27</v>
      </c>
      <c r="BC129" s="60">
        <f t="shared" si="6"/>
        <v>28</v>
      </c>
    </row>
    <row r="130">
      <c r="AD130" s="52"/>
      <c r="AF130" s="52"/>
      <c r="AR130" s="52"/>
      <c r="AU130" s="52"/>
      <c r="AY130" s="53"/>
    </row>
    <row r="131">
      <c r="AD131" s="52"/>
      <c r="AF131" s="52"/>
      <c r="AR131" s="52"/>
      <c r="AU131" s="52"/>
      <c r="AY131" s="53"/>
    </row>
    <row r="132">
      <c r="AD132" s="52"/>
      <c r="AF132" s="52"/>
      <c r="AR132" s="52"/>
      <c r="AU132" s="52"/>
      <c r="AY132" s="53"/>
    </row>
    <row r="133">
      <c r="AD133" s="52"/>
      <c r="AF133" s="52"/>
      <c r="AR133" s="52"/>
      <c r="AU133" s="52"/>
      <c r="AY133" s="53"/>
    </row>
    <row r="134">
      <c r="AD134" s="52"/>
      <c r="AF134" s="52"/>
      <c r="AR134" s="52"/>
      <c r="AU134" s="52"/>
      <c r="AY134" s="53"/>
    </row>
    <row r="135">
      <c r="AD135" s="52"/>
      <c r="AF135" s="52"/>
      <c r="AR135" s="52"/>
      <c r="AU135" s="52"/>
      <c r="AY135" s="53"/>
    </row>
    <row r="136">
      <c r="AD136" s="52"/>
      <c r="AF136" s="52"/>
      <c r="AR136" s="52"/>
      <c r="AU136" s="52"/>
      <c r="AY136" s="53"/>
    </row>
    <row r="137">
      <c r="AD137" s="52"/>
      <c r="AF137" s="52"/>
      <c r="AR137" s="52"/>
      <c r="AU137" s="52"/>
      <c r="AY137" s="53"/>
    </row>
    <row r="138">
      <c r="AD138" s="52"/>
      <c r="AF138" s="52"/>
      <c r="AR138" s="52"/>
      <c r="AU138" s="52"/>
      <c r="AY138" s="53"/>
    </row>
    <row r="139">
      <c r="AD139" s="52"/>
      <c r="AF139" s="52"/>
      <c r="AR139" s="52"/>
      <c r="AU139" s="52"/>
      <c r="AY139" s="53"/>
    </row>
    <row r="140">
      <c r="AD140" s="52"/>
      <c r="AF140" s="52"/>
      <c r="AR140" s="52"/>
      <c r="AU140" s="52"/>
      <c r="AY140" s="53"/>
    </row>
    <row r="141">
      <c r="AD141" s="52"/>
      <c r="AF141" s="52"/>
      <c r="AR141" s="52"/>
      <c r="AU141" s="52"/>
      <c r="AY141" s="53"/>
    </row>
    <row r="142">
      <c r="AD142" s="52"/>
      <c r="AF142" s="52"/>
      <c r="AR142" s="52"/>
      <c r="AU142" s="52"/>
      <c r="AY142" s="53"/>
    </row>
    <row r="143">
      <c r="AD143" s="52"/>
      <c r="AF143" s="52"/>
      <c r="AR143" s="52"/>
      <c r="AU143" s="52"/>
      <c r="AY143" s="53"/>
    </row>
    <row r="144">
      <c r="AD144" s="52"/>
      <c r="AF144" s="52"/>
      <c r="AR144" s="52"/>
      <c r="AU144" s="52"/>
      <c r="AY144" s="53"/>
    </row>
    <row r="145">
      <c r="AD145" s="52"/>
      <c r="AF145" s="52"/>
      <c r="AR145" s="52"/>
      <c r="AU145" s="52"/>
      <c r="AY145" s="53"/>
    </row>
    <row r="146">
      <c r="AD146" s="52"/>
      <c r="AF146" s="52"/>
      <c r="AR146" s="52"/>
      <c r="AU146" s="52"/>
      <c r="AY146" s="53"/>
    </row>
    <row r="147">
      <c r="AD147" s="52"/>
      <c r="AF147" s="52"/>
      <c r="AR147" s="52"/>
      <c r="AU147" s="52"/>
      <c r="AY147" s="53"/>
    </row>
    <row r="148">
      <c r="AD148" s="52"/>
      <c r="AF148" s="52"/>
      <c r="AR148" s="52"/>
      <c r="AU148" s="52"/>
      <c r="AY148" s="53"/>
    </row>
    <row r="149">
      <c r="AD149" s="52"/>
      <c r="AF149" s="52"/>
      <c r="AR149" s="52"/>
      <c r="AU149" s="52"/>
      <c r="AY149" s="53"/>
    </row>
    <row r="150">
      <c r="AD150" s="52"/>
      <c r="AF150" s="52"/>
      <c r="AR150" s="52"/>
      <c r="AU150" s="52"/>
      <c r="AY150" s="53"/>
    </row>
    <row r="151">
      <c r="AD151" s="52"/>
      <c r="AF151" s="52"/>
      <c r="AR151" s="52"/>
      <c r="AU151" s="52"/>
      <c r="AY151" s="53"/>
    </row>
    <row r="152">
      <c r="AD152" s="52"/>
      <c r="AF152" s="52"/>
      <c r="AR152" s="52"/>
      <c r="AU152" s="52"/>
      <c r="AY152" s="53"/>
    </row>
    <row r="153">
      <c r="AD153" s="52"/>
      <c r="AF153" s="52"/>
      <c r="AR153" s="52"/>
      <c r="AU153" s="52"/>
      <c r="AY153" s="53"/>
    </row>
    <row r="154">
      <c r="B154" s="85" t="s">
        <v>100</v>
      </c>
      <c r="AD154" s="52"/>
      <c r="AF154" s="52"/>
      <c r="AR154" s="52"/>
      <c r="AU154" s="52"/>
      <c r="AY154" s="53"/>
    </row>
    <row r="155">
      <c r="B155" s="86" t="s">
        <v>101</v>
      </c>
      <c r="AD155" s="52"/>
      <c r="AF155" s="52"/>
      <c r="AR155" s="52"/>
      <c r="AU155" s="52"/>
      <c r="AY155" s="53"/>
    </row>
    <row r="156">
      <c r="B156" s="86" t="s">
        <v>102</v>
      </c>
      <c r="AD156" s="52"/>
      <c r="AF156" s="52"/>
      <c r="AR156" s="52"/>
      <c r="AU156" s="52"/>
      <c r="AY156" s="53"/>
    </row>
    <row r="157">
      <c r="B157" s="87" t="s">
        <v>103</v>
      </c>
      <c r="AD157" s="52"/>
      <c r="AF157" s="52"/>
      <c r="AR157" s="52"/>
      <c r="AU157" s="52"/>
      <c r="AY157" s="53"/>
    </row>
    <row r="158">
      <c r="B158" s="87" t="s">
        <v>104</v>
      </c>
      <c r="AD158" s="52"/>
      <c r="AF158" s="52"/>
      <c r="AR158" s="52"/>
      <c r="AU158" s="52"/>
      <c r="AY158" s="53"/>
    </row>
    <row r="159">
      <c r="B159" s="87" t="s">
        <v>105</v>
      </c>
      <c r="AD159" s="52"/>
      <c r="AF159" s="52"/>
      <c r="AR159" s="52"/>
      <c r="AU159" s="52"/>
      <c r="AY159" s="53"/>
    </row>
    <row r="160">
      <c r="B160" s="87" t="s">
        <v>106</v>
      </c>
      <c r="AD160" s="52"/>
      <c r="AF160" s="52"/>
      <c r="AR160" s="52"/>
      <c r="AU160" s="52"/>
      <c r="AY160" s="53"/>
    </row>
    <row r="161">
      <c r="B161" s="87" t="s">
        <v>107</v>
      </c>
      <c r="AD161" s="52"/>
      <c r="AF161" s="52"/>
      <c r="AR161" s="52"/>
      <c r="AU161" s="52"/>
      <c r="AY161" s="53"/>
    </row>
    <row r="162">
      <c r="B162" s="87" t="s">
        <v>108</v>
      </c>
      <c r="AD162" s="52"/>
      <c r="AF162" s="52"/>
      <c r="AR162" s="52"/>
      <c r="AU162" s="52"/>
      <c r="AY162" s="53"/>
    </row>
    <row r="163">
      <c r="B163" s="88" t="s">
        <v>109</v>
      </c>
      <c r="AD163" s="52"/>
      <c r="AF163" s="52"/>
      <c r="AR163" s="52"/>
      <c r="AU163" s="52"/>
      <c r="AY163" s="53"/>
    </row>
    <row r="164">
      <c r="B164" s="88" t="s">
        <v>110</v>
      </c>
      <c r="AD164" s="52"/>
      <c r="AF164" s="52"/>
      <c r="AR164" s="52"/>
      <c r="AU164" s="52"/>
      <c r="AY164" s="53"/>
    </row>
    <row r="165">
      <c r="B165" s="87" t="s">
        <v>111</v>
      </c>
      <c r="AD165" s="52"/>
      <c r="AF165" s="52"/>
      <c r="AR165" s="52"/>
      <c r="AU165" s="52"/>
      <c r="AY165" s="53"/>
    </row>
    <row r="166">
      <c r="B166" s="87" t="s">
        <v>112</v>
      </c>
      <c r="AD166" s="52"/>
      <c r="AF166" s="52"/>
      <c r="AR166" s="52"/>
      <c r="AU166" s="52"/>
      <c r="AY166" s="53"/>
    </row>
    <row r="167">
      <c r="B167" s="89" t="s">
        <v>113</v>
      </c>
      <c r="AD167" s="52"/>
      <c r="AF167" s="52"/>
      <c r="AR167" s="52"/>
      <c r="AU167" s="52"/>
      <c r="AY167" s="53"/>
    </row>
    <row r="168">
      <c r="AD168" s="52"/>
      <c r="AF168" s="52"/>
      <c r="AR168" s="52"/>
      <c r="AU168" s="52"/>
      <c r="AY168" s="53"/>
    </row>
    <row r="169">
      <c r="AD169" s="52"/>
      <c r="AF169" s="52"/>
      <c r="AR169" s="52"/>
      <c r="AU169" s="52"/>
      <c r="AY169" s="53"/>
    </row>
    <row r="170">
      <c r="AD170" s="52"/>
      <c r="AF170" s="52"/>
      <c r="AR170" s="52"/>
      <c r="AU170" s="52"/>
      <c r="AY170" s="53"/>
    </row>
    <row r="171">
      <c r="AD171" s="52"/>
      <c r="AF171" s="52"/>
      <c r="AR171" s="52"/>
      <c r="AU171" s="52"/>
      <c r="AY171" s="53"/>
    </row>
    <row r="172">
      <c r="AD172" s="52"/>
      <c r="AF172" s="52"/>
      <c r="AR172" s="52"/>
      <c r="AU172" s="52"/>
      <c r="AY172" s="53"/>
    </row>
    <row r="173">
      <c r="AD173" s="52"/>
      <c r="AF173" s="52"/>
      <c r="AR173" s="52"/>
      <c r="AU173" s="52"/>
      <c r="AY173" s="53"/>
    </row>
    <row r="174">
      <c r="AD174" s="52"/>
      <c r="AF174" s="52"/>
      <c r="AR174" s="52"/>
      <c r="AU174" s="52"/>
      <c r="AY174" s="53"/>
    </row>
    <row r="175">
      <c r="AD175" s="52"/>
      <c r="AF175" s="52"/>
      <c r="AR175" s="52"/>
      <c r="AU175" s="52"/>
      <c r="AY175" s="53"/>
    </row>
    <row r="176">
      <c r="AD176" s="52"/>
      <c r="AF176" s="52"/>
      <c r="AR176" s="52"/>
      <c r="AU176" s="52"/>
      <c r="AY176" s="53"/>
    </row>
    <row r="177">
      <c r="AD177" s="52"/>
      <c r="AF177" s="52"/>
      <c r="AR177" s="52"/>
      <c r="AU177" s="52"/>
      <c r="AY177" s="53"/>
    </row>
    <row r="178">
      <c r="AD178" s="52"/>
      <c r="AF178" s="52"/>
      <c r="AR178" s="52"/>
      <c r="AU178" s="52"/>
      <c r="AY178" s="53"/>
    </row>
    <row r="179">
      <c r="AD179" s="52"/>
      <c r="AF179" s="52"/>
      <c r="AR179" s="52"/>
      <c r="AU179" s="52"/>
      <c r="AY179" s="53"/>
    </row>
    <row r="180">
      <c r="AD180" s="52"/>
      <c r="AF180" s="52"/>
      <c r="AR180" s="52"/>
      <c r="AU180" s="52"/>
      <c r="AY180" s="53"/>
    </row>
    <row r="181">
      <c r="AD181" s="52"/>
      <c r="AF181" s="52"/>
      <c r="AR181" s="52"/>
      <c r="AU181" s="52"/>
      <c r="AY181" s="53"/>
    </row>
    <row r="182">
      <c r="AD182" s="52"/>
      <c r="AF182" s="52"/>
      <c r="AR182" s="52"/>
      <c r="AU182" s="52"/>
      <c r="AY182" s="53"/>
    </row>
    <row r="183">
      <c r="AD183" s="52"/>
      <c r="AF183" s="52"/>
      <c r="AR183" s="52"/>
      <c r="AU183" s="52"/>
      <c r="AY183" s="53"/>
    </row>
    <row r="184">
      <c r="AD184" s="52"/>
      <c r="AF184" s="52"/>
      <c r="AR184" s="52"/>
      <c r="AU184" s="52"/>
      <c r="AY184" s="53"/>
    </row>
    <row r="185">
      <c r="AD185" s="52"/>
      <c r="AF185" s="52"/>
      <c r="AR185" s="52"/>
      <c r="AU185" s="52"/>
      <c r="AY185" s="53"/>
    </row>
    <row r="186">
      <c r="AD186" s="52"/>
      <c r="AF186" s="52"/>
      <c r="AR186" s="52"/>
      <c r="AU186" s="52"/>
      <c r="AY186" s="53"/>
    </row>
    <row r="187">
      <c r="AD187" s="52"/>
      <c r="AF187" s="52"/>
      <c r="AR187" s="52"/>
      <c r="AU187" s="52"/>
      <c r="AY187" s="53"/>
    </row>
    <row r="188">
      <c r="AD188" s="52"/>
      <c r="AF188" s="52"/>
      <c r="AR188" s="52"/>
      <c r="AU188" s="52"/>
      <c r="AY188" s="53"/>
    </row>
    <row r="189">
      <c r="AD189" s="52"/>
      <c r="AF189" s="52"/>
      <c r="AR189" s="52"/>
      <c r="AU189" s="52"/>
      <c r="AY189" s="53"/>
    </row>
    <row r="190">
      <c r="AD190" s="52"/>
      <c r="AF190" s="52"/>
      <c r="AR190" s="52"/>
      <c r="AU190" s="52"/>
      <c r="AY190" s="53"/>
    </row>
    <row r="191">
      <c r="AD191" s="52"/>
      <c r="AF191" s="52"/>
      <c r="AR191" s="52"/>
      <c r="AU191" s="52"/>
      <c r="AY191" s="53"/>
    </row>
    <row r="192">
      <c r="AD192" s="52"/>
      <c r="AF192" s="52"/>
      <c r="AR192" s="52"/>
      <c r="AU192" s="52"/>
      <c r="AY192" s="53"/>
    </row>
    <row r="193">
      <c r="AD193" s="52"/>
      <c r="AF193" s="52"/>
      <c r="AR193" s="52"/>
      <c r="AU193" s="52"/>
      <c r="AY193" s="53"/>
    </row>
    <row r="194">
      <c r="AD194" s="52"/>
      <c r="AF194" s="52"/>
      <c r="AR194" s="52"/>
      <c r="AU194" s="52"/>
      <c r="AY194" s="53"/>
    </row>
    <row r="195">
      <c r="AD195" s="52"/>
      <c r="AF195" s="52"/>
      <c r="AR195" s="52"/>
      <c r="AU195" s="52"/>
      <c r="AY195" s="53"/>
    </row>
    <row r="196">
      <c r="AD196" s="52"/>
      <c r="AF196" s="52"/>
      <c r="AR196" s="52"/>
      <c r="AU196" s="52"/>
      <c r="AY196" s="53"/>
    </row>
    <row r="197">
      <c r="AD197" s="52"/>
      <c r="AF197" s="52"/>
      <c r="AR197" s="52"/>
      <c r="AU197" s="52"/>
      <c r="AY197" s="53"/>
    </row>
    <row r="198">
      <c r="AD198" s="52"/>
      <c r="AF198" s="52"/>
      <c r="AR198" s="52"/>
      <c r="AU198" s="52"/>
      <c r="AY198" s="53"/>
    </row>
    <row r="199">
      <c r="AD199" s="52"/>
      <c r="AF199" s="52"/>
      <c r="AR199" s="52"/>
      <c r="AU199" s="52"/>
      <c r="AY199" s="53"/>
    </row>
    <row r="200">
      <c r="AD200" s="52"/>
      <c r="AF200" s="52"/>
      <c r="AR200" s="52"/>
      <c r="AU200" s="52"/>
      <c r="AY200" s="53"/>
    </row>
    <row r="201">
      <c r="AD201" s="52"/>
      <c r="AF201" s="52"/>
      <c r="AR201" s="52"/>
      <c r="AU201" s="52"/>
      <c r="AY201" s="53"/>
    </row>
    <row r="202">
      <c r="AD202" s="52"/>
      <c r="AF202" s="52"/>
      <c r="AR202" s="52"/>
      <c r="AU202" s="52"/>
      <c r="AY202" s="53"/>
    </row>
    <row r="203">
      <c r="AD203" s="52"/>
      <c r="AF203" s="52"/>
      <c r="AR203" s="52"/>
      <c r="AU203" s="52"/>
      <c r="AY203" s="53"/>
    </row>
    <row r="204">
      <c r="AD204" s="52"/>
      <c r="AF204" s="52"/>
      <c r="AR204" s="52"/>
      <c r="AU204" s="52"/>
      <c r="AY204" s="53"/>
    </row>
    <row r="205">
      <c r="AD205" s="52"/>
      <c r="AF205" s="52"/>
      <c r="AR205" s="52"/>
      <c r="AU205" s="52"/>
      <c r="AY205" s="53"/>
    </row>
    <row r="206">
      <c r="AD206" s="52"/>
      <c r="AF206" s="52"/>
      <c r="AR206" s="52"/>
      <c r="AU206" s="52"/>
      <c r="AY206" s="53"/>
    </row>
    <row r="207">
      <c r="AD207" s="52"/>
      <c r="AF207" s="52"/>
      <c r="AR207" s="52"/>
      <c r="AU207" s="52"/>
      <c r="AY207" s="53"/>
    </row>
    <row r="208">
      <c r="AD208" s="52"/>
      <c r="AF208" s="52"/>
      <c r="AR208" s="52"/>
      <c r="AU208" s="52"/>
      <c r="AY208" s="53"/>
    </row>
    <row r="209">
      <c r="AD209" s="52"/>
      <c r="AF209" s="52"/>
      <c r="AR209" s="52"/>
      <c r="AU209" s="52"/>
      <c r="AY209" s="53"/>
    </row>
    <row r="210">
      <c r="AD210" s="52"/>
      <c r="AF210" s="52"/>
      <c r="AR210" s="52"/>
      <c r="AU210" s="52"/>
      <c r="AY210" s="53"/>
    </row>
    <row r="211">
      <c r="AD211" s="52"/>
      <c r="AF211" s="52"/>
      <c r="AR211" s="52"/>
      <c r="AU211" s="52"/>
      <c r="AY211" s="53"/>
    </row>
    <row r="212">
      <c r="AD212" s="52"/>
      <c r="AF212" s="52"/>
      <c r="AR212" s="52"/>
      <c r="AU212" s="52"/>
      <c r="AY212" s="53"/>
    </row>
    <row r="213">
      <c r="AD213" s="52"/>
      <c r="AF213" s="52"/>
      <c r="AR213" s="52"/>
      <c r="AU213" s="52"/>
      <c r="AY213" s="53"/>
    </row>
    <row r="214">
      <c r="AD214" s="52"/>
      <c r="AF214" s="52"/>
      <c r="AR214" s="52"/>
      <c r="AU214" s="52"/>
      <c r="AY214" s="53"/>
    </row>
    <row r="215">
      <c r="AD215" s="52"/>
      <c r="AF215" s="52"/>
      <c r="AR215" s="52"/>
      <c r="AU215" s="52"/>
      <c r="AY215" s="53"/>
    </row>
    <row r="216">
      <c r="AD216" s="52"/>
      <c r="AF216" s="52"/>
      <c r="AR216" s="52"/>
      <c r="AU216" s="52"/>
      <c r="AY216" s="53"/>
    </row>
    <row r="217">
      <c r="AD217" s="52"/>
      <c r="AF217" s="52"/>
      <c r="AR217" s="52"/>
      <c r="AU217" s="52"/>
      <c r="AY217" s="53"/>
    </row>
    <row r="218">
      <c r="AD218" s="52"/>
      <c r="AF218" s="52"/>
      <c r="AR218" s="52"/>
      <c r="AU218" s="52"/>
      <c r="AY218" s="53"/>
    </row>
    <row r="219">
      <c r="AD219" s="52"/>
      <c r="AF219" s="52"/>
      <c r="AR219" s="52"/>
      <c r="AU219" s="52"/>
      <c r="AY219" s="53"/>
    </row>
    <row r="220">
      <c r="AD220" s="52"/>
      <c r="AF220" s="52"/>
      <c r="AR220" s="52"/>
      <c r="AU220" s="52"/>
      <c r="AY220" s="53"/>
    </row>
    <row r="221">
      <c r="AD221" s="52"/>
      <c r="AF221" s="52"/>
      <c r="AR221" s="52"/>
      <c r="AU221" s="52"/>
      <c r="AY221" s="53"/>
    </row>
    <row r="222">
      <c r="AD222" s="52"/>
      <c r="AF222" s="52"/>
      <c r="AR222" s="52"/>
      <c r="AU222" s="52"/>
      <c r="AY222" s="53"/>
    </row>
    <row r="223">
      <c r="AD223" s="52"/>
      <c r="AF223" s="52"/>
      <c r="AR223" s="52"/>
      <c r="AU223" s="52"/>
      <c r="AY223" s="53"/>
    </row>
    <row r="224">
      <c r="AD224" s="52"/>
      <c r="AF224" s="52"/>
      <c r="AR224" s="52"/>
      <c r="AU224" s="52"/>
      <c r="AY224" s="53"/>
    </row>
    <row r="225">
      <c r="AD225" s="52"/>
      <c r="AF225" s="52"/>
      <c r="AR225" s="52"/>
      <c r="AU225" s="52"/>
      <c r="AY225" s="53"/>
    </row>
    <row r="226">
      <c r="AD226" s="52"/>
      <c r="AF226" s="52"/>
      <c r="AR226" s="52"/>
      <c r="AU226" s="52"/>
      <c r="AY226" s="53"/>
    </row>
    <row r="227">
      <c r="AD227" s="52"/>
      <c r="AF227" s="52"/>
      <c r="AR227" s="52"/>
      <c r="AU227" s="52"/>
      <c r="AY227" s="53"/>
    </row>
    <row r="228">
      <c r="AD228" s="52"/>
      <c r="AF228" s="52"/>
      <c r="AR228" s="52"/>
      <c r="AU228" s="52"/>
      <c r="AY228" s="53"/>
    </row>
    <row r="229">
      <c r="AD229" s="52"/>
      <c r="AF229" s="52"/>
      <c r="AR229" s="52"/>
      <c r="AU229" s="52"/>
      <c r="AY229" s="53"/>
    </row>
    <row r="230">
      <c r="AD230" s="52"/>
      <c r="AF230" s="52"/>
      <c r="AR230" s="52"/>
      <c r="AU230" s="52"/>
      <c r="AY230" s="53"/>
    </row>
    <row r="231">
      <c r="AD231" s="52"/>
      <c r="AF231" s="52"/>
      <c r="AR231" s="52"/>
      <c r="AU231" s="52"/>
      <c r="AY231" s="53"/>
    </row>
    <row r="232">
      <c r="AD232" s="52"/>
      <c r="AF232" s="52"/>
      <c r="AR232" s="52"/>
      <c r="AU232" s="52"/>
      <c r="AY232" s="53"/>
    </row>
    <row r="233">
      <c r="AD233" s="52"/>
      <c r="AF233" s="52"/>
      <c r="AR233" s="52"/>
      <c r="AU233" s="52"/>
      <c r="AY233" s="53"/>
    </row>
    <row r="234">
      <c r="AD234" s="52"/>
      <c r="AF234" s="52"/>
      <c r="AR234" s="52"/>
      <c r="AU234" s="52"/>
      <c r="AY234" s="53"/>
    </row>
    <row r="235">
      <c r="AD235" s="52"/>
      <c r="AF235" s="52"/>
      <c r="AR235" s="52"/>
      <c r="AU235" s="52"/>
      <c r="AY235" s="53"/>
    </row>
    <row r="236">
      <c r="AD236" s="52"/>
      <c r="AF236" s="52"/>
      <c r="AR236" s="52"/>
      <c r="AU236" s="52"/>
      <c r="AY236" s="53"/>
    </row>
    <row r="237">
      <c r="AD237" s="52"/>
      <c r="AF237" s="52"/>
      <c r="AR237" s="52"/>
      <c r="AU237" s="52"/>
      <c r="AY237" s="53"/>
    </row>
    <row r="238">
      <c r="AD238" s="52"/>
      <c r="AF238" s="52"/>
      <c r="AR238" s="52"/>
      <c r="AU238" s="52"/>
      <c r="AY238" s="53"/>
    </row>
    <row r="239">
      <c r="AD239" s="52"/>
      <c r="AF239" s="52"/>
      <c r="AR239" s="52"/>
      <c r="AU239" s="52"/>
      <c r="AY239" s="53"/>
    </row>
    <row r="240">
      <c r="AD240" s="52"/>
      <c r="AF240" s="52"/>
      <c r="AR240" s="52"/>
      <c r="AU240" s="52"/>
      <c r="AY240" s="53"/>
    </row>
    <row r="241">
      <c r="AD241" s="52"/>
      <c r="AF241" s="52"/>
      <c r="AR241" s="52"/>
      <c r="AU241" s="52"/>
      <c r="AY241" s="53"/>
    </row>
    <row r="242">
      <c r="AD242" s="52"/>
      <c r="AF242" s="52"/>
      <c r="AR242" s="52"/>
      <c r="AU242" s="52"/>
      <c r="AY242" s="53"/>
    </row>
    <row r="243">
      <c r="AD243" s="52"/>
      <c r="AF243" s="52"/>
      <c r="AR243" s="52"/>
      <c r="AU243" s="52"/>
      <c r="AY243" s="53"/>
    </row>
    <row r="244">
      <c r="AD244" s="52"/>
      <c r="AF244" s="52"/>
      <c r="AR244" s="52"/>
      <c r="AU244" s="52"/>
      <c r="AY244" s="53"/>
    </row>
    <row r="245">
      <c r="AD245" s="52"/>
      <c r="AF245" s="52"/>
      <c r="AR245" s="52"/>
      <c r="AU245" s="52"/>
      <c r="AY245" s="53"/>
    </row>
    <row r="246">
      <c r="AD246" s="52"/>
      <c r="AF246" s="52"/>
      <c r="AR246" s="52"/>
      <c r="AU246" s="52"/>
      <c r="AY246" s="53"/>
    </row>
    <row r="247">
      <c r="AD247" s="52"/>
      <c r="AF247" s="52"/>
      <c r="AR247" s="52"/>
      <c r="AU247" s="52"/>
      <c r="AY247" s="53"/>
    </row>
    <row r="248">
      <c r="AD248" s="52"/>
      <c r="AF248" s="52"/>
      <c r="AR248" s="52"/>
      <c r="AU248" s="52"/>
      <c r="AY248" s="53"/>
    </row>
    <row r="249">
      <c r="AD249" s="52"/>
      <c r="AF249" s="52"/>
      <c r="AR249" s="52"/>
      <c r="AU249" s="52"/>
      <c r="AY249" s="53"/>
    </row>
    <row r="250">
      <c r="AD250" s="52"/>
      <c r="AF250" s="52"/>
      <c r="AR250" s="52"/>
      <c r="AU250" s="52"/>
      <c r="AY250" s="53"/>
    </row>
    <row r="251">
      <c r="AD251" s="52"/>
      <c r="AF251" s="52"/>
      <c r="AR251" s="52"/>
      <c r="AU251" s="52"/>
      <c r="AY251" s="53"/>
    </row>
    <row r="252">
      <c r="AD252" s="52"/>
      <c r="AF252" s="52"/>
      <c r="AR252" s="52"/>
      <c r="AU252" s="52"/>
      <c r="AY252" s="53"/>
    </row>
    <row r="253">
      <c r="AD253" s="52"/>
      <c r="AF253" s="52"/>
      <c r="AR253" s="52"/>
      <c r="AU253" s="52"/>
      <c r="AY253" s="53"/>
    </row>
    <row r="254">
      <c r="AD254" s="52"/>
      <c r="AF254" s="52"/>
      <c r="AR254" s="52"/>
      <c r="AU254" s="52"/>
      <c r="AY254" s="53"/>
    </row>
    <row r="255">
      <c r="AD255" s="52"/>
      <c r="AF255" s="52"/>
      <c r="AR255" s="52"/>
      <c r="AU255" s="52"/>
      <c r="AY255" s="53"/>
    </row>
    <row r="256">
      <c r="AD256" s="52"/>
      <c r="AF256" s="52"/>
      <c r="AR256" s="52"/>
      <c r="AU256" s="52"/>
      <c r="AY256" s="53"/>
    </row>
    <row r="257">
      <c r="AD257" s="52"/>
      <c r="AF257" s="52"/>
      <c r="AR257" s="52"/>
      <c r="AU257" s="52"/>
      <c r="AY257" s="53"/>
    </row>
    <row r="258">
      <c r="AD258" s="52"/>
      <c r="AF258" s="52"/>
      <c r="AR258" s="52"/>
      <c r="AU258" s="52"/>
      <c r="AY258" s="53"/>
    </row>
    <row r="259">
      <c r="AD259" s="52"/>
      <c r="AF259" s="52"/>
      <c r="AR259" s="52"/>
      <c r="AU259" s="52"/>
      <c r="AY259" s="53"/>
    </row>
    <row r="260">
      <c r="AD260" s="52"/>
      <c r="AF260" s="52"/>
      <c r="AR260" s="52"/>
      <c r="AU260" s="52"/>
      <c r="AY260" s="53"/>
    </row>
    <row r="261">
      <c r="AD261" s="52"/>
      <c r="AF261" s="52"/>
      <c r="AR261" s="52"/>
      <c r="AU261" s="52"/>
      <c r="AY261" s="53"/>
    </row>
    <row r="262">
      <c r="AD262" s="52"/>
      <c r="AF262" s="52"/>
      <c r="AR262" s="52"/>
      <c r="AU262" s="52"/>
      <c r="AY262" s="53"/>
    </row>
    <row r="263">
      <c r="AD263" s="52"/>
      <c r="AF263" s="52"/>
      <c r="AR263" s="52"/>
      <c r="AU263" s="52"/>
      <c r="AY263" s="53"/>
    </row>
    <row r="264">
      <c r="AD264" s="52"/>
      <c r="AF264" s="52"/>
      <c r="AR264" s="52"/>
      <c r="AU264" s="52"/>
      <c r="AY264" s="53"/>
    </row>
    <row r="265">
      <c r="AD265" s="52"/>
      <c r="AF265" s="52"/>
      <c r="AR265" s="52"/>
      <c r="AU265" s="52"/>
      <c r="AY265" s="53"/>
    </row>
    <row r="266">
      <c r="AD266" s="52"/>
      <c r="AF266" s="52"/>
      <c r="AR266" s="52"/>
      <c r="AU266" s="52"/>
      <c r="AY266" s="53"/>
    </row>
    <row r="267">
      <c r="AD267" s="52"/>
      <c r="AF267" s="52"/>
      <c r="AR267" s="52"/>
      <c r="AU267" s="52"/>
      <c r="AY267" s="53"/>
    </row>
    <row r="268">
      <c r="AD268" s="52"/>
      <c r="AF268" s="52"/>
      <c r="AR268" s="52"/>
      <c r="AU268" s="52"/>
      <c r="AY268" s="53"/>
    </row>
    <row r="269">
      <c r="AD269" s="52"/>
      <c r="AF269" s="52"/>
      <c r="AR269" s="52"/>
      <c r="AU269" s="52"/>
      <c r="AY269" s="53"/>
    </row>
    <row r="270">
      <c r="AD270" s="52"/>
      <c r="AF270" s="52"/>
      <c r="AR270" s="52"/>
      <c r="AU270" s="52"/>
      <c r="AY270" s="53"/>
    </row>
    <row r="271">
      <c r="AD271" s="52"/>
      <c r="AF271" s="52"/>
      <c r="AR271" s="52"/>
      <c r="AU271" s="52"/>
      <c r="AY271" s="53"/>
    </row>
    <row r="272">
      <c r="AD272" s="52"/>
      <c r="AF272" s="52"/>
      <c r="AR272" s="52"/>
      <c r="AU272" s="52"/>
      <c r="AY272" s="53"/>
    </row>
    <row r="273">
      <c r="AD273" s="52"/>
      <c r="AF273" s="52"/>
      <c r="AR273" s="52"/>
      <c r="AU273" s="52"/>
      <c r="AY273" s="53"/>
    </row>
    <row r="274">
      <c r="AD274" s="52"/>
      <c r="AF274" s="52"/>
      <c r="AR274" s="52"/>
      <c r="AU274" s="52"/>
      <c r="AY274" s="53"/>
    </row>
    <row r="275">
      <c r="AD275" s="52"/>
      <c r="AF275" s="52"/>
      <c r="AR275" s="52"/>
      <c r="AU275" s="52"/>
      <c r="AY275" s="53"/>
    </row>
    <row r="276">
      <c r="AD276" s="52"/>
      <c r="AF276" s="52"/>
      <c r="AR276" s="52"/>
      <c r="AU276" s="52"/>
      <c r="AY276" s="53"/>
    </row>
    <row r="277">
      <c r="AD277" s="52"/>
      <c r="AF277" s="52"/>
      <c r="AR277" s="52"/>
      <c r="AU277" s="52"/>
      <c r="AY277" s="53"/>
    </row>
    <row r="278">
      <c r="AD278" s="52"/>
      <c r="AF278" s="52"/>
      <c r="AR278" s="52"/>
      <c r="AU278" s="52"/>
      <c r="AY278" s="53"/>
    </row>
    <row r="279">
      <c r="AD279" s="52"/>
      <c r="AF279" s="52"/>
      <c r="AR279" s="52"/>
      <c r="AU279" s="52"/>
      <c r="AY279" s="53"/>
    </row>
    <row r="280">
      <c r="AD280" s="52"/>
      <c r="AF280" s="52"/>
      <c r="AR280" s="52"/>
      <c r="AU280" s="52"/>
      <c r="AY280" s="53"/>
    </row>
    <row r="281">
      <c r="AD281" s="52"/>
      <c r="AF281" s="52"/>
      <c r="AR281" s="52"/>
      <c r="AU281" s="52"/>
      <c r="AY281" s="53"/>
    </row>
    <row r="282">
      <c r="AD282" s="52"/>
      <c r="AF282" s="52"/>
      <c r="AR282" s="52"/>
      <c r="AU282" s="52"/>
      <c r="AY282" s="53"/>
    </row>
    <row r="283">
      <c r="AD283" s="52"/>
      <c r="AF283" s="52"/>
      <c r="AR283" s="52"/>
      <c r="AU283" s="52"/>
      <c r="AY283" s="53"/>
    </row>
    <row r="284">
      <c r="AD284" s="52"/>
      <c r="AF284" s="52"/>
      <c r="AR284" s="52"/>
      <c r="AU284" s="52"/>
      <c r="AY284" s="53"/>
    </row>
    <row r="285">
      <c r="AD285" s="52"/>
      <c r="AF285" s="52"/>
      <c r="AR285" s="52"/>
      <c r="AU285" s="52"/>
      <c r="AY285" s="53"/>
    </row>
    <row r="286">
      <c r="AD286" s="52"/>
      <c r="AF286" s="52"/>
      <c r="AR286" s="52"/>
      <c r="AU286" s="52"/>
      <c r="AY286" s="53"/>
    </row>
    <row r="287">
      <c r="AD287" s="52"/>
      <c r="AF287" s="52"/>
      <c r="AR287" s="52"/>
      <c r="AU287" s="52"/>
      <c r="AY287" s="53"/>
    </row>
    <row r="288">
      <c r="AD288" s="52"/>
      <c r="AF288" s="52"/>
      <c r="AR288" s="52"/>
      <c r="AU288" s="52"/>
      <c r="AY288" s="53"/>
    </row>
    <row r="289">
      <c r="AD289" s="52"/>
      <c r="AF289" s="52"/>
      <c r="AR289" s="52"/>
      <c r="AU289" s="52"/>
      <c r="AY289" s="53"/>
    </row>
    <row r="290">
      <c r="AD290" s="52"/>
      <c r="AF290" s="52"/>
      <c r="AR290" s="52"/>
      <c r="AU290" s="52"/>
      <c r="AY290" s="53"/>
    </row>
    <row r="291">
      <c r="AD291" s="52"/>
      <c r="AF291" s="52"/>
      <c r="AR291" s="52"/>
      <c r="AU291" s="52"/>
      <c r="AY291" s="53"/>
    </row>
    <row r="292">
      <c r="AD292" s="52"/>
      <c r="AF292" s="52"/>
      <c r="AR292" s="52"/>
      <c r="AU292" s="52"/>
      <c r="AY292" s="53"/>
    </row>
    <row r="293">
      <c r="AD293" s="52"/>
      <c r="AF293" s="52"/>
      <c r="AR293" s="52"/>
      <c r="AU293" s="52"/>
      <c r="AY293" s="53"/>
    </row>
    <row r="294">
      <c r="AD294" s="52"/>
      <c r="AF294" s="52"/>
      <c r="AR294" s="52"/>
      <c r="AU294" s="52"/>
      <c r="AY294" s="53"/>
    </row>
    <row r="295">
      <c r="AD295" s="52"/>
      <c r="AF295" s="52"/>
      <c r="AR295" s="52"/>
      <c r="AU295" s="52"/>
      <c r="AY295" s="53"/>
    </row>
    <row r="296">
      <c r="AD296" s="52"/>
      <c r="AF296" s="52"/>
      <c r="AR296" s="52"/>
      <c r="AU296" s="52"/>
      <c r="AY296" s="53"/>
    </row>
    <row r="297">
      <c r="AD297" s="52"/>
      <c r="AF297" s="52"/>
      <c r="AR297" s="52"/>
      <c r="AU297" s="52"/>
      <c r="AY297" s="53"/>
    </row>
    <row r="298">
      <c r="AD298" s="52"/>
      <c r="AF298" s="52"/>
      <c r="AR298" s="52"/>
      <c r="AU298" s="52"/>
      <c r="AY298" s="53"/>
    </row>
    <row r="299">
      <c r="AD299" s="52"/>
      <c r="AF299" s="52"/>
      <c r="AR299" s="52"/>
      <c r="AU299" s="52"/>
      <c r="AY299" s="53"/>
    </row>
    <row r="300">
      <c r="AD300" s="52"/>
      <c r="AF300" s="52"/>
      <c r="AR300" s="52"/>
      <c r="AU300" s="52"/>
      <c r="AY300" s="53"/>
    </row>
    <row r="301">
      <c r="AD301" s="52"/>
      <c r="AF301" s="52"/>
      <c r="AR301" s="52"/>
      <c r="AU301" s="52"/>
      <c r="AY301" s="53"/>
    </row>
    <row r="302">
      <c r="AD302" s="52"/>
      <c r="AF302" s="52"/>
      <c r="AR302" s="52"/>
      <c r="AU302" s="52"/>
      <c r="AY302" s="53"/>
    </row>
    <row r="303">
      <c r="AD303" s="52"/>
      <c r="AF303" s="52"/>
      <c r="AR303" s="52"/>
      <c r="AU303" s="52"/>
      <c r="AY303" s="53"/>
    </row>
    <row r="304">
      <c r="AD304" s="52"/>
      <c r="AF304" s="52"/>
      <c r="AR304" s="52"/>
      <c r="AU304" s="52"/>
      <c r="AY304" s="53"/>
    </row>
    <row r="305">
      <c r="AD305" s="52"/>
      <c r="AF305" s="52"/>
      <c r="AR305" s="52"/>
      <c r="AU305" s="52"/>
      <c r="AY305" s="53"/>
    </row>
    <row r="306">
      <c r="AD306" s="52"/>
      <c r="AF306" s="52"/>
      <c r="AR306" s="52"/>
      <c r="AU306" s="52"/>
      <c r="AY306" s="53"/>
    </row>
    <row r="307">
      <c r="AD307" s="52"/>
      <c r="AF307" s="52"/>
      <c r="AR307" s="52"/>
      <c r="AU307" s="52"/>
      <c r="AY307" s="53"/>
    </row>
    <row r="308">
      <c r="AD308" s="52"/>
      <c r="AF308" s="52"/>
      <c r="AR308" s="52"/>
      <c r="AU308" s="52"/>
      <c r="AY308" s="53"/>
    </row>
    <row r="309">
      <c r="AD309" s="52"/>
      <c r="AF309" s="52"/>
      <c r="AR309" s="52"/>
      <c r="AU309" s="52"/>
      <c r="AY309" s="53"/>
    </row>
    <row r="310">
      <c r="AD310" s="52"/>
      <c r="AF310" s="52"/>
      <c r="AR310" s="52"/>
      <c r="AU310" s="52"/>
      <c r="AY310" s="53"/>
    </row>
    <row r="311">
      <c r="AD311" s="52"/>
      <c r="AF311" s="52"/>
      <c r="AR311" s="52"/>
      <c r="AU311" s="52"/>
      <c r="AY311" s="53"/>
    </row>
    <row r="312">
      <c r="AD312" s="52"/>
      <c r="AF312" s="52"/>
      <c r="AR312" s="52"/>
      <c r="AU312" s="52"/>
      <c r="AY312" s="53"/>
    </row>
    <row r="313">
      <c r="AD313" s="52"/>
      <c r="AF313" s="52"/>
      <c r="AR313" s="52"/>
      <c r="AU313" s="52"/>
      <c r="AY313" s="53"/>
    </row>
    <row r="314">
      <c r="AD314" s="52"/>
      <c r="AF314" s="52"/>
      <c r="AR314" s="52"/>
      <c r="AU314" s="52"/>
      <c r="AY314" s="53"/>
    </row>
    <row r="315">
      <c r="AD315" s="52"/>
      <c r="AF315" s="52"/>
      <c r="AR315" s="52"/>
      <c r="AU315" s="52"/>
      <c r="AY315" s="53"/>
    </row>
    <row r="316">
      <c r="AD316" s="52"/>
      <c r="AF316" s="52"/>
      <c r="AR316" s="52"/>
      <c r="AU316" s="52"/>
      <c r="AY316" s="53"/>
    </row>
    <row r="317">
      <c r="AD317" s="52"/>
      <c r="AF317" s="52"/>
      <c r="AR317" s="52"/>
      <c r="AU317" s="52"/>
      <c r="AY317" s="53"/>
    </row>
    <row r="318">
      <c r="AD318" s="52"/>
      <c r="AF318" s="52"/>
      <c r="AR318" s="52"/>
      <c r="AU318" s="52"/>
      <c r="AY318" s="53"/>
    </row>
    <row r="319">
      <c r="AD319" s="52"/>
      <c r="AF319" s="52"/>
      <c r="AR319" s="52"/>
      <c r="AU319" s="52"/>
      <c r="AY319" s="53"/>
    </row>
    <row r="320">
      <c r="AD320" s="52"/>
      <c r="AF320" s="52"/>
      <c r="AR320" s="52"/>
      <c r="AU320" s="52"/>
      <c r="AY320" s="53"/>
    </row>
    <row r="321">
      <c r="AD321" s="52"/>
      <c r="AF321" s="52"/>
      <c r="AR321" s="52"/>
      <c r="AU321" s="52"/>
      <c r="AY321" s="53"/>
    </row>
    <row r="322">
      <c r="AD322" s="52"/>
      <c r="AF322" s="52"/>
      <c r="AR322" s="52"/>
      <c r="AU322" s="52"/>
      <c r="AY322" s="53"/>
    </row>
    <row r="323">
      <c r="AD323" s="52"/>
      <c r="AF323" s="52"/>
      <c r="AR323" s="52"/>
      <c r="AU323" s="52"/>
      <c r="AY323" s="53"/>
    </row>
    <row r="324">
      <c r="AD324" s="52"/>
      <c r="AF324" s="52"/>
      <c r="AR324" s="52"/>
      <c r="AU324" s="52"/>
      <c r="AY324" s="53"/>
    </row>
    <row r="325">
      <c r="AD325" s="52"/>
      <c r="AF325" s="52"/>
      <c r="AR325" s="52"/>
      <c r="AU325" s="52"/>
      <c r="AY325" s="53"/>
    </row>
    <row r="326">
      <c r="AD326" s="52"/>
      <c r="AF326" s="52"/>
      <c r="AR326" s="52"/>
      <c r="AU326" s="52"/>
      <c r="AY326" s="53"/>
    </row>
    <row r="327">
      <c r="AD327" s="52"/>
      <c r="AF327" s="52"/>
      <c r="AR327" s="52"/>
      <c r="AU327" s="52"/>
      <c r="AY327" s="53"/>
    </row>
    <row r="328">
      <c r="AD328" s="52"/>
      <c r="AF328" s="52"/>
      <c r="AR328" s="52"/>
      <c r="AU328" s="52"/>
      <c r="AY328" s="53"/>
    </row>
    <row r="329">
      <c r="AD329" s="52"/>
      <c r="AF329" s="52"/>
      <c r="AR329" s="52"/>
      <c r="AU329" s="52"/>
      <c r="AY329" s="53"/>
    </row>
    <row r="330">
      <c r="AD330" s="52"/>
      <c r="AF330" s="52"/>
      <c r="AR330" s="52"/>
      <c r="AU330" s="52"/>
      <c r="AY330" s="53"/>
    </row>
    <row r="331">
      <c r="AD331" s="52"/>
      <c r="AF331" s="52"/>
      <c r="AR331" s="52"/>
      <c r="AU331" s="52"/>
      <c r="AY331" s="53"/>
    </row>
    <row r="332">
      <c r="AD332" s="52"/>
      <c r="AF332" s="52"/>
      <c r="AR332" s="52"/>
      <c r="AU332" s="52"/>
      <c r="AY332" s="53"/>
    </row>
    <row r="333">
      <c r="AD333" s="52"/>
      <c r="AF333" s="52"/>
      <c r="AR333" s="52"/>
      <c r="AU333" s="52"/>
      <c r="AY333" s="53"/>
    </row>
    <row r="334">
      <c r="AD334" s="52"/>
      <c r="AF334" s="52"/>
      <c r="AR334" s="52"/>
      <c r="AU334" s="52"/>
      <c r="AY334" s="53"/>
    </row>
    <row r="335">
      <c r="AD335" s="52"/>
      <c r="AF335" s="52"/>
      <c r="AR335" s="52"/>
      <c r="AU335" s="52"/>
      <c r="AY335" s="53"/>
    </row>
    <row r="336">
      <c r="AD336" s="52"/>
      <c r="AF336" s="52"/>
      <c r="AR336" s="52"/>
      <c r="AU336" s="52"/>
      <c r="AY336" s="53"/>
    </row>
    <row r="337">
      <c r="AD337" s="52"/>
      <c r="AF337" s="52"/>
      <c r="AR337" s="52"/>
      <c r="AU337" s="52"/>
      <c r="AY337" s="53"/>
    </row>
    <row r="338">
      <c r="AD338" s="52"/>
      <c r="AF338" s="52"/>
      <c r="AR338" s="52"/>
      <c r="AU338" s="52"/>
      <c r="AY338" s="53"/>
    </row>
    <row r="339">
      <c r="AD339" s="52"/>
      <c r="AF339" s="52"/>
      <c r="AR339" s="52"/>
      <c r="AU339" s="52"/>
      <c r="AY339" s="53"/>
    </row>
    <row r="340">
      <c r="AD340" s="52"/>
      <c r="AF340" s="52"/>
      <c r="AR340" s="52"/>
      <c r="AU340" s="52"/>
      <c r="AY340" s="53"/>
    </row>
    <row r="341">
      <c r="AD341" s="52"/>
      <c r="AF341" s="52"/>
      <c r="AR341" s="52"/>
      <c r="AU341" s="52"/>
      <c r="AY341" s="53"/>
    </row>
    <row r="342">
      <c r="AD342" s="52"/>
      <c r="AF342" s="52"/>
      <c r="AR342" s="52"/>
      <c r="AU342" s="52"/>
      <c r="AY342" s="53"/>
    </row>
    <row r="343">
      <c r="AD343" s="52"/>
      <c r="AF343" s="52"/>
      <c r="AR343" s="52"/>
      <c r="AU343" s="52"/>
      <c r="AY343" s="53"/>
    </row>
    <row r="344">
      <c r="AD344" s="52"/>
      <c r="AF344" s="52"/>
      <c r="AR344" s="52"/>
      <c r="AU344" s="52"/>
      <c r="AY344" s="53"/>
    </row>
    <row r="345">
      <c r="AD345" s="52"/>
      <c r="AF345" s="52"/>
      <c r="AR345" s="52"/>
      <c r="AU345" s="52"/>
      <c r="AY345" s="53"/>
    </row>
    <row r="346">
      <c r="AD346" s="52"/>
      <c r="AF346" s="52"/>
      <c r="AR346" s="52"/>
      <c r="AU346" s="52"/>
      <c r="AY346" s="53"/>
    </row>
    <row r="347">
      <c r="AD347" s="52"/>
      <c r="AF347" s="52"/>
      <c r="AR347" s="52"/>
      <c r="AU347" s="52"/>
      <c r="AY347" s="53"/>
    </row>
    <row r="348">
      <c r="AD348" s="52"/>
      <c r="AF348" s="52"/>
      <c r="AR348" s="52"/>
      <c r="AU348" s="52"/>
      <c r="AY348" s="53"/>
    </row>
    <row r="349">
      <c r="AD349" s="52"/>
      <c r="AF349" s="52"/>
      <c r="AR349" s="52"/>
      <c r="AU349" s="52"/>
      <c r="AY349" s="53"/>
    </row>
    <row r="350">
      <c r="AD350" s="52"/>
      <c r="AF350" s="52"/>
      <c r="AR350" s="52"/>
      <c r="AU350" s="52"/>
      <c r="AY350" s="53"/>
    </row>
    <row r="351">
      <c r="AD351" s="52"/>
      <c r="AF351" s="52"/>
      <c r="AR351" s="52"/>
      <c r="AU351" s="52"/>
      <c r="AY351" s="53"/>
    </row>
    <row r="352">
      <c r="AD352" s="52"/>
      <c r="AF352" s="52"/>
      <c r="AR352" s="52"/>
      <c r="AU352" s="52"/>
      <c r="AY352" s="53"/>
    </row>
    <row r="353">
      <c r="AD353" s="52"/>
      <c r="AF353" s="52"/>
      <c r="AR353" s="52"/>
      <c r="AU353" s="52"/>
      <c r="AY353" s="53"/>
    </row>
    <row r="354">
      <c r="AD354" s="52"/>
      <c r="AF354" s="52"/>
      <c r="AR354" s="52"/>
      <c r="AU354" s="52"/>
      <c r="AY354" s="53"/>
    </row>
    <row r="355">
      <c r="AD355" s="52"/>
      <c r="AF355" s="52"/>
      <c r="AR355" s="52"/>
      <c r="AU355" s="52"/>
      <c r="AY355" s="53"/>
    </row>
    <row r="356">
      <c r="AD356" s="52"/>
      <c r="AF356" s="52"/>
      <c r="AR356" s="52"/>
      <c r="AU356" s="52"/>
      <c r="AY356" s="53"/>
    </row>
    <row r="357">
      <c r="AD357" s="52"/>
      <c r="AF357" s="52"/>
      <c r="AR357" s="52"/>
      <c r="AU357" s="52"/>
      <c r="AY357" s="53"/>
    </row>
    <row r="358">
      <c r="AD358" s="52"/>
      <c r="AF358" s="52"/>
      <c r="AR358" s="52"/>
      <c r="AU358" s="52"/>
      <c r="AY358" s="53"/>
    </row>
    <row r="359">
      <c r="AD359" s="52"/>
      <c r="AF359" s="52"/>
      <c r="AR359" s="52"/>
      <c r="AU359" s="52"/>
      <c r="AY359" s="53"/>
    </row>
    <row r="360">
      <c r="AD360" s="52"/>
      <c r="AF360" s="52"/>
      <c r="AR360" s="52"/>
      <c r="AU360" s="52"/>
      <c r="AY360" s="53"/>
    </row>
    <row r="361">
      <c r="AD361" s="52"/>
      <c r="AF361" s="52"/>
      <c r="AR361" s="52"/>
      <c r="AU361" s="52"/>
      <c r="AY361" s="53"/>
    </row>
    <row r="362">
      <c r="AD362" s="52"/>
      <c r="AF362" s="52"/>
      <c r="AR362" s="52"/>
      <c r="AU362" s="52"/>
      <c r="AY362" s="53"/>
    </row>
    <row r="363">
      <c r="AD363" s="52"/>
      <c r="AF363" s="52"/>
      <c r="AR363" s="52"/>
      <c r="AU363" s="52"/>
      <c r="AY363" s="53"/>
    </row>
    <row r="364">
      <c r="AD364" s="52"/>
      <c r="AF364" s="52"/>
      <c r="AR364" s="52"/>
      <c r="AU364" s="52"/>
      <c r="AY364" s="53"/>
    </row>
    <row r="365">
      <c r="AD365" s="52"/>
      <c r="AF365" s="52"/>
      <c r="AR365" s="52"/>
      <c r="AU365" s="52"/>
      <c r="AY365" s="53"/>
    </row>
    <row r="366">
      <c r="AD366" s="52"/>
      <c r="AF366" s="52"/>
      <c r="AR366" s="52"/>
      <c r="AU366" s="52"/>
      <c r="AY366" s="53"/>
    </row>
    <row r="367">
      <c r="AD367" s="52"/>
      <c r="AF367" s="52"/>
      <c r="AR367" s="52"/>
      <c r="AU367" s="52"/>
      <c r="AY367" s="53"/>
    </row>
    <row r="368">
      <c r="AD368" s="52"/>
      <c r="AF368" s="52"/>
      <c r="AR368" s="52"/>
      <c r="AU368" s="52"/>
      <c r="AY368" s="53"/>
    </row>
    <row r="369">
      <c r="AD369" s="52"/>
      <c r="AF369" s="52"/>
      <c r="AR369" s="52"/>
      <c r="AU369" s="52"/>
      <c r="AY369" s="53"/>
    </row>
    <row r="370">
      <c r="AD370" s="52"/>
      <c r="AF370" s="52"/>
      <c r="AR370" s="52"/>
      <c r="AU370" s="52"/>
      <c r="AY370" s="53"/>
    </row>
    <row r="371">
      <c r="AD371" s="52"/>
      <c r="AF371" s="52"/>
      <c r="AR371" s="52"/>
      <c r="AU371" s="52"/>
      <c r="AY371" s="53"/>
    </row>
    <row r="372">
      <c r="AD372" s="52"/>
      <c r="AF372" s="52"/>
      <c r="AR372" s="52"/>
      <c r="AU372" s="52"/>
      <c r="AY372" s="53"/>
    </row>
    <row r="373">
      <c r="AD373" s="52"/>
      <c r="AF373" s="52"/>
      <c r="AR373" s="52"/>
      <c r="AU373" s="52"/>
      <c r="AY373" s="53"/>
    </row>
    <row r="374">
      <c r="AD374" s="52"/>
      <c r="AF374" s="52"/>
      <c r="AR374" s="52"/>
      <c r="AU374" s="52"/>
      <c r="AY374" s="53"/>
    </row>
    <row r="375">
      <c r="AD375" s="52"/>
      <c r="AF375" s="52"/>
      <c r="AR375" s="52"/>
      <c r="AU375" s="52"/>
      <c r="AY375" s="53"/>
    </row>
    <row r="376">
      <c r="AD376" s="52"/>
      <c r="AF376" s="52"/>
      <c r="AR376" s="52"/>
      <c r="AU376" s="52"/>
      <c r="AY376" s="53"/>
    </row>
    <row r="377">
      <c r="AD377" s="52"/>
      <c r="AF377" s="52"/>
      <c r="AR377" s="52"/>
      <c r="AU377" s="52"/>
      <c r="AY377" s="53"/>
    </row>
    <row r="378">
      <c r="AD378" s="52"/>
      <c r="AF378" s="52"/>
      <c r="AR378" s="52"/>
      <c r="AU378" s="52"/>
      <c r="AY378" s="53"/>
    </row>
    <row r="379">
      <c r="AD379" s="52"/>
      <c r="AF379" s="52"/>
      <c r="AR379" s="52"/>
      <c r="AU379" s="52"/>
      <c r="AY379" s="53"/>
    </row>
    <row r="380">
      <c r="AD380" s="52"/>
      <c r="AF380" s="52"/>
      <c r="AR380" s="52"/>
      <c r="AU380" s="52"/>
      <c r="AY380" s="53"/>
    </row>
    <row r="381">
      <c r="AD381" s="52"/>
      <c r="AF381" s="52"/>
      <c r="AR381" s="52"/>
      <c r="AU381" s="52"/>
      <c r="AY381" s="53"/>
    </row>
    <row r="382">
      <c r="AD382" s="52"/>
      <c r="AF382" s="52"/>
      <c r="AR382" s="52"/>
      <c r="AU382" s="52"/>
      <c r="AY382" s="53"/>
    </row>
    <row r="383">
      <c r="AD383" s="52"/>
      <c r="AF383" s="52"/>
      <c r="AR383" s="52"/>
      <c r="AU383" s="52"/>
      <c r="AY383" s="53"/>
    </row>
    <row r="384">
      <c r="AD384" s="52"/>
      <c r="AF384" s="52"/>
      <c r="AR384" s="52"/>
      <c r="AU384" s="52"/>
      <c r="AY384" s="53"/>
    </row>
    <row r="385">
      <c r="AD385" s="52"/>
      <c r="AF385" s="52"/>
      <c r="AR385" s="52"/>
      <c r="AU385" s="52"/>
      <c r="AY385" s="53"/>
    </row>
    <row r="386">
      <c r="AD386" s="52"/>
      <c r="AF386" s="52"/>
      <c r="AR386" s="52"/>
      <c r="AU386" s="52"/>
      <c r="AY386" s="53"/>
    </row>
    <row r="387">
      <c r="AD387" s="52"/>
      <c r="AF387" s="52"/>
      <c r="AR387" s="52"/>
      <c r="AU387" s="52"/>
      <c r="AY387" s="53"/>
    </row>
    <row r="388">
      <c r="AD388" s="52"/>
      <c r="AF388" s="52"/>
      <c r="AR388" s="52"/>
      <c r="AU388" s="52"/>
      <c r="AY388" s="53"/>
    </row>
    <row r="389">
      <c r="AD389" s="52"/>
      <c r="AF389" s="52"/>
      <c r="AR389" s="52"/>
      <c r="AU389" s="52"/>
      <c r="AY389" s="53"/>
    </row>
    <row r="390">
      <c r="AD390" s="52"/>
      <c r="AF390" s="52"/>
      <c r="AR390" s="52"/>
      <c r="AU390" s="52"/>
      <c r="AY390" s="53"/>
    </row>
    <row r="391">
      <c r="AD391" s="52"/>
      <c r="AF391" s="52"/>
      <c r="AR391" s="52"/>
      <c r="AU391" s="52"/>
      <c r="AY391" s="53"/>
    </row>
    <row r="392">
      <c r="AD392" s="52"/>
      <c r="AF392" s="52"/>
      <c r="AR392" s="52"/>
      <c r="AU392" s="52"/>
      <c r="AY392" s="53"/>
    </row>
    <row r="393">
      <c r="AD393" s="52"/>
      <c r="AF393" s="52"/>
      <c r="AR393" s="52"/>
      <c r="AU393" s="52"/>
      <c r="AY393" s="53"/>
    </row>
    <row r="394">
      <c r="AD394" s="52"/>
      <c r="AF394" s="52"/>
      <c r="AR394" s="52"/>
      <c r="AU394" s="52"/>
      <c r="AY394" s="53"/>
    </row>
    <row r="395">
      <c r="AD395" s="52"/>
      <c r="AF395" s="52"/>
      <c r="AR395" s="52"/>
      <c r="AU395" s="52"/>
      <c r="AY395" s="53"/>
    </row>
    <row r="396">
      <c r="AD396" s="52"/>
      <c r="AF396" s="52"/>
      <c r="AR396" s="52"/>
      <c r="AU396" s="52"/>
      <c r="AY396" s="53"/>
    </row>
    <row r="397">
      <c r="AD397" s="52"/>
      <c r="AF397" s="52"/>
      <c r="AR397" s="52"/>
      <c r="AU397" s="52"/>
      <c r="AY397" s="53"/>
    </row>
    <row r="398">
      <c r="AD398" s="52"/>
      <c r="AF398" s="52"/>
      <c r="AR398" s="52"/>
      <c r="AU398" s="52"/>
      <c r="AY398" s="53"/>
    </row>
    <row r="399">
      <c r="AD399" s="52"/>
      <c r="AF399" s="52"/>
      <c r="AR399" s="52"/>
      <c r="AU399" s="52"/>
      <c r="AY399" s="53"/>
    </row>
    <row r="400">
      <c r="AD400" s="52"/>
      <c r="AF400" s="52"/>
      <c r="AR400" s="52"/>
      <c r="AU400" s="52"/>
      <c r="AY400" s="53"/>
    </row>
    <row r="401">
      <c r="AD401" s="52"/>
      <c r="AF401" s="52"/>
      <c r="AR401" s="52"/>
      <c r="AU401" s="52"/>
      <c r="AY401" s="53"/>
    </row>
    <row r="402">
      <c r="AD402" s="52"/>
      <c r="AF402" s="52"/>
      <c r="AR402" s="52"/>
      <c r="AU402" s="52"/>
      <c r="AY402" s="53"/>
    </row>
    <row r="403">
      <c r="AD403" s="52"/>
      <c r="AF403" s="52"/>
      <c r="AR403" s="52"/>
      <c r="AU403" s="52"/>
      <c r="AY403" s="53"/>
    </row>
    <row r="404">
      <c r="AD404" s="52"/>
      <c r="AF404" s="52"/>
      <c r="AR404" s="52"/>
      <c r="AU404" s="52"/>
      <c r="AY404" s="53"/>
    </row>
    <row r="405">
      <c r="AD405" s="52"/>
      <c r="AF405" s="52"/>
      <c r="AR405" s="52"/>
      <c r="AU405" s="52"/>
      <c r="AY405" s="53"/>
    </row>
    <row r="406">
      <c r="AD406" s="52"/>
      <c r="AF406" s="52"/>
      <c r="AR406" s="52"/>
      <c r="AU406" s="52"/>
      <c r="AY406" s="53"/>
    </row>
    <row r="407">
      <c r="AD407" s="52"/>
      <c r="AF407" s="52"/>
      <c r="AR407" s="52"/>
      <c r="AU407" s="52"/>
      <c r="AY407" s="53"/>
    </row>
    <row r="408">
      <c r="AD408" s="52"/>
      <c r="AF408" s="52"/>
      <c r="AR408" s="52"/>
      <c r="AU408" s="52"/>
      <c r="AY408" s="53"/>
    </row>
    <row r="409">
      <c r="AD409" s="52"/>
      <c r="AF409" s="52"/>
      <c r="AR409" s="52"/>
      <c r="AU409" s="52"/>
      <c r="AY409" s="53"/>
    </row>
    <row r="410">
      <c r="AD410" s="52"/>
      <c r="AF410" s="52"/>
      <c r="AR410" s="52"/>
      <c r="AU410" s="52"/>
      <c r="AY410" s="53"/>
    </row>
    <row r="411">
      <c r="AD411" s="52"/>
      <c r="AF411" s="52"/>
      <c r="AR411" s="52"/>
      <c r="AU411" s="52"/>
      <c r="AY411" s="53"/>
    </row>
    <row r="412">
      <c r="AD412" s="52"/>
      <c r="AF412" s="52"/>
      <c r="AR412" s="52"/>
      <c r="AU412" s="52"/>
      <c r="AY412" s="53"/>
    </row>
    <row r="413">
      <c r="AD413" s="52"/>
      <c r="AF413" s="52"/>
      <c r="AR413" s="52"/>
      <c r="AU413" s="52"/>
      <c r="AY413" s="53"/>
    </row>
    <row r="414">
      <c r="AD414" s="52"/>
      <c r="AF414" s="52"/>
      <c r="AR414" s="52"/>
      <c r="AU414" s="52"/>
      <c r="AY414" s="53"/>
    </row>
    <row r="415">
      <c r="AD415" s="52"/>
      <c r="AF415" s="52"/>
      <c r="AR415" s="52"/>
      <c r="AU415" s="52"/>
      <c r="AY415" s="53"/>
    </row>
    <row r="416">
      <c r="AD416" s="52"/>
      <c r="AF416" s="52"/>
      <c r="AR416" s="52"/>
      <c r="AU416" s="52"/>
      <c r="AY416" s="53"/>
    </row>
    <row r="417">
      <c r="AD417" s="52"/>
      <c r="AF417" s="52"/>
      <c r="AR417" s="52"/>
      <c r="AU417" s="52"/>
      <c r="AY417" s="53"/>
    </row>
    <row r="418">
      <c r="AD418" s="52"/>
      <c r="AF418" s="52"/>
      <c r="AR418" s="52"/>
      <c r="AU418" s="52"/>
      <c r="AY418" s="53"/>
    </row>
    <row r="419">
      <c r="AD419" s="52"/>
      <c r="AF419" s="52"/>
      <c r="AR419" s="52"/>
      <c r="AU419" s="52"/>
      <c r="AY419" s="53"/>
    </row>
    <row r="420">
      <c r="AD420" s="52"/>
      <c r="AF420" s="52"/>
      <c r="AR420" s="52"/>
      <c r="AU420" s="52"/>
      <c r="AY420" s="53"/>
    </row>
    <row r="421">
      <c r="AD421" s="52"/>
      <c r="AF421" s="52"/>
      <c r="AR421" s="52"/>
      <c r="AU421" s="52"/>
      <c r="AY421" s="53"/>
    </row>
    <row r="422">
      <c r="AD422" s="52"/>
      <c r="AF422" s="52"/>
      <c r="AR422" s="52"/>
      <c r="AU422" s="52"/>
      <c r="AY422" s="53"/>
    </row>
    <row r="423">
      <c r="AD423" s="52"/>
      <c r="AF423" s="52"/>
      <c r="AR423" s="52"/>
      <c r="AU423" s="52"/>
      <c r="AY423" s="53"/>
    </row>
    <row r="424">
      <c r="AD424" s="52"/>
      <c r="AF424" s="52"/>
      <c r="AR424" s="52"/>
      <c r="AU424" s="52"/>
      <c r="AY424" s="53"/>
    </row>
    <row r="425">
      <c r="AD425" s="52"/>
      <c r="AF425" s="52"/>
      <c r="AR425" s="52"/>
      <c r="AU425" s="52"/>
      <c r="AY425" s="53"/>
    </row>
    <row r="426">
      <c r="AD426" s="52"/>
      <c r="AF426" s="52"/>
      <c r="AR426" s="52"/>
      <c r="AU426" s="52"/>
      <c r="AY426" s="53"/>
    </row>
    <row r="427">
      <c r="AD427" s="52"/>
      <c r="AF427" s="52"/>
      <c r="AR427" s="52"/>
      <c r="AU427" s="52"/>
      <c r="AY427" s="53"/>
    </row>
    <row r="428">
      <c r="AD428" s="52"/>
      <c r="AF428" s="52"/>
      <c r="AR428" s="52"/>
      <c r="AU428" s="52"/>
      <c r="AY428" s="53"/>
    </row>
    <row r="429">
      <c r="AD429" s="52"/>
      <c r="AF429" s="52"/>
      <c r="AR429" s="52"/>
      <c r="AU429" s="52"/>
      <c r="AY429" s="53"/>
    </row>
    <row r="430">
      <c r="AD430" s="52"/>
      <c r="AF430" s="52"/>
      <c r="AR430" s="52"/>
      <c r="AU430" s="52"/>
      <c r="AY430" s="53"/>
    </row>
    <row r="431">
      <c r="AD431" s="52"/>
      <c r="AF431" s="52"/>
      <c r="AR431" s="52"/>
      <c r="AU431" s="52"/>
      <c r="AY431" s="53"/>
    </row>
    <row r="432">
      <c r="AD432" s="52"/>
      <c r="AF432" s="52"/>
      <c r="AR432" s="52"/>
      <c r="AU432" s="52"/>
      <c r="AY432" s="53"/>
    </row>
    <row r="433">
      <c r="AD433" s="52"/>
      <c r="AF433" s="52"/>
      <c r="AR433" s="52"/>
      <c r="AU433" s="52"/>
      <c r="AY433" s="53"/>
    </row>
    <row r="434">
      <c r="AD434" s="52"/>
      <c r="AF434" s="52"/>
      <c r="AR434" s="52"/>
      <c r="AU434" s="52"/>
      <c r="AY434" s="53"/>
    </row>
    <row r="435">
      <c r="AD435" s="52"/>
      <c r="AF435" s="52"/>
      <c r="AR435" s="52"/>
      <c r="AU435" s="52"/>
      <c r="AY435" s="53"/>
    </row>
    <row r="436">
      <c r="AD436" s="52"/>
      <c r="AF436" s="52"/>
      <c r="AR436" s="52"/>
      <c r="AU436" s="52"/>
      <c r="AY436" s="53"/>
    </row>
    <row r="437">
      <c r="AD437" s="52"/>
      <c r="AF437" s="52"/>
      <c r="AR437" s="52"/>
      <c r="AU437" s="52"/>
      <c r="AY437" s="53"/>
    </row>
    <row r="438">
      <c r="AD438" s="52"/>
      <c r="AF438" s="52"/>
      <c r="AR438" s="52"/>
      <c r="AU438" s="52"/>
      <c r="AY438" s="53"/>
    </row>
    <row r="439">
      <c r="AD439" s="52"/>
      <c r="AF439" s="52"/>
      <c r="AR439" s="52"/>
      <c r="AU439" s="52"/>
      <c r="AY439" s="53"/>
    </row>
    <row r="440">
      <c r="AD440" s="52"/>
      <c r="AF440" s="52"/>
      <c r="AR440" s="52"/>
      <c r="AU440" s="52"/>
      <c r="AY440" s="53"/>
    </row>
    <row r="441">
      <c r="AD441" s="52"/>
      <c r="AF441" s="52"/>
      <c r="AR441" s="52"/>
      <c r="AU441" s="52"/>
      <c r="AY441" s="53"/>
    </row>
    <row r="442">
      <c r="AD442" s="52"/>
      <c r="AF442" s="52"/>
      <c r="AR442" s="52"/>
      <c r="AU442" s="52"/>
      <c r="AY442" s="53"/>
    </row>
    <row r="443">
      <c r="AD443" s="52"/>
      <c r="AF443" s="52"/>
      <c r="AR443" s="52"/>
      <c r="AU443" s="52"/>
      <c r="AY443" s="53"/>
    </row>
    <row r="444">
      <c r="AD444" s="52"/>
      <c r="AF444" s="52"/>
      <c r="AR444" s="52"/>
      <c r="AU444" s="52"/>
      <c r="AY444" s="53"/>
    </row>
    <row r="445">
      <c r="AD445" s="52"/>
      <c r="AF445" s="52"/>
      <c r="AR445" s="52"/>
      <c r="AU445" s="52"/>
      <c r="AY445" s="53"/>
    </row>
    <row r="446">
      <c r="AD446" s="52"/>
      <c r="AF446" s="52"/>
      <c r="AR446" s="52"/>
      <c r="AU446" s="52"/>
      <c r="AY446" s="53"/>
    </row>
    <row r="447">
      <c r="AD447" s="52"/>
      <c r="AF447" s="52"/>
      <c r="AR447" s="52"/>
      <c r="AU447" s="52"/>
      <c r="AY447" s="53"/>
    </row>
    <row r="448">
      <c r="AD448" s="52"/>
      <c r="AF448" s="52"/>
      <c r="AR448" s="52"/>
      <c r="AU448" s="52"/>
      <c r="AY448" s="53"/>
    </row>
    <row r="449">
      <c r="AD449" s="52"/>
      <c r="AF449" s="52"/>
      <c r="AR449" s="52"/>
      <c r="AU449" s="52"/>
      <c r="AY449" s="53"/>
    </row>
    <row r="450">
      <c r="AD450" s="52"/>
      <c r="AF450" s="52"/>
      <c r="AR450" s="52"/>
      <c r="AU450" s="52"/>
      <c r="AY450" s="53"/>
    </row>
    <row r="451">
      <c r="AD451" s="52"/>
      <c r="AF451" s="52"/>
      <c r="AR451" s="52"/>
      <c r="AU451" s="52"/>
      <c r="AY451" s="53"/>
    </row>
    <row r="452">
      <c r="AD452" s="52"/>
      <c r="AF452" s="52"/>
      <c r="AR452" s="52"/>
      <c r="AU452" s="52"/>
      <c r="AY452" s="53"/>
    </row>
    <row r="453">
      <c r="AD453" s="52"/>
      <c r="AF453" s="52"/>
      <c r="AR453" s="52"/>
      <c r="AU453" s="52"/>
      <c r="AY453" s="53"/>
    </row>
    <row r="454">
      <c r="AD454" s="52"/>
      <c r="AF454" s="52"/>
      <c r="AR454" s="52"/>
      <c r="AU454" s="52"/>
      <c r="AY454" s="53"/>
    </row>
    <row r="455">
      <c r="AD455" s="52"/>
      <c r="AF455" s="52"/>
      <c r="AR455" s="52"/>
      <c r="AU455" s="52"/>
      <c r="AY455" s="53"/>
    </row>
    <row r="456">
      <c r="AD456" s="52"/>
      <c r="AF456" s="52"/>
      <c r="AR456" s="52"/>
      <c r="AU456" s="52"/>
      <c r="AY456" s="53"/>
    </row>
    <row r="457">
      <c r="AD457" s="52"/>
      <c r="AF457" s="52"/>
      <c r="AR457" s="52"/>
      <c r="AU457" s="52"/>
      <c r="AY457" s="53"/>
    </row>
    <row r="458">
      <c r="AD458" s="52"/>
      <c r="AF458" s="52"/>
      <c r="AR458" s="52"/>
      <c r="AU458" s="52"/>
      <c r="AY458" s="53"/>
    </row>
    <row r="459">
      <c r="AD459" s="52"/>
      <c r="AF459" s="52"/>
      <c r="AR459" s="52"/>
      <c r="AU459" s="52"/>
      <c r="AY459" s="53"/>
    </row>
    <row r="460">
      <c r="AD460" s="52"/>
      <c r="AF460" s="52"/>
      <c r="AR460" s="52"/>
      <c r="AU460" s="52"/>
      <c r="AY460" s="53"/>
    </row>
    <row r="461">
      <c r="AD461" s="52"/>
      <c r="AF461" s="52"/>
      <c r="AR461" s="52"/>
      <c r="AU461" s="52"/>
      <c r="AY461" s="53"/>
    </row>
    <row r="462">
      <c r="AD462" s="52"/>
      <c r="AF462" s="52"/>
      <c r="AR462" s="52"/>
      <c r="AU462" s="52"/>
      <c r="AY462" s="53"/>
    </row>
    <row r="463">
      <c r="AD463" s="52"/>
      <c r="AF463" s="52"/>
      <c r="AR463" s="52"/>
      <c r="AU463" s="52"/>
      <c r="AY463" s="53"/>
    </row>
    <row r="464">
      <c r="AD464" s="52"/>
      <c r="AF464" s="52"/>
      <c r="AR464" s="52"/>
      <c r="AU464" s="52"/>
      <c r="AY464" s="53"/>
    </row>
    <row r="465">
      <c r="AD465" s="52"/>
      <c r="AF465" s="52"/>
      <c r="AR465" s="52"/>
      <c r="AU465" s="52"/>
      <c r="AY465" s="53"/>
    </row>
    <row r="466">
      <c r="AD466" s="52"/>
      <c r="AF466" s="52"/>
      <c r="AR466" s="52"/>
      <c r="AU466" s="52"/>
      <c r="AY466" s="53"/>
    </row>
    <row r="467">
      <c r="AD467" s="52"/>
      <c r="AF467" s="52"/>
      <c r="AR467" s="52"/>
      <c r="AU467" s="52"/>
      <c r="AY467" s="53"/>
    </row>
    <row r="468">
      <c r="AD468" s="52"/>
      <c r="AF468" s="52"/>
      <c r="AR468" s="52"/>
      <c r="AU468" s="52"/>
      <c r="AY468" s="53"/>
    </row>
    <row r="469">
      <c r="AD469" s="52"/>
      <c r="AF469" s="52"/>
      <c r="AR469" s="52"/>
      <c r="AU469" s="52"/>
      <c r="AY469" s="53"/>
    </row>
    <row r="470">
      <c r="AD470" s="52"/>
      <c r="AF470" s="52"/>
      <c r="AR470" s="52"/>
      <c r="AU470" s="52"/>
      <c r="AY470" s="53"/>
    </row>
    <row r="471">
      <c r="AD471" s="52"/>
      <c r="AF471" s="52"/>
      <c r="AR471" s="52"/>
      <c r="AU471" s="52"/>
      <c r="AY471" s="53"/>
    </row>
    <row r="472">
      <c r="AD472" s="52"/>
      <c r="AF472" s="52"/>
      <c r="AR472" s="52"/>
      <c r="AU472" s="52"/>
      <c r="AY472" s="53"/>
    </row>
    <row r="473">
      <c r="AD473" s="52"/>
      <c r="AF473" s="52"/>
      <c r="AR473" s="52"/>
      <c r="AU473" s="52"/>
      <c r="AY473" s="53"/>
    </row>
    <row r="474">
      <c r="AD474" s="52"/>
      <c r="AF474" s="52"/>
      <c r="AR474" s="52"/>
      <c r="AU474" s="52"/>
      <c r="AY474" s="53"/>
    </row>
    <row r="475">
      <c r="AD475" s="52"/>
      <c r="AF475" s="52"/>
      <c r="AR475" s="52"/>
      <c r="AU475" s="52"/>
      <c r="AY475" s="53"/>
    </row>
    <row r="476">
      <c r="AD476" s="52"/>
      <c r="AF476" s="52"/>
      <c r="AR476" s="52"/>
      <c r="AU476" s="52"/>
      <c r="AY476" s="53"/>
    </row>
    <row r="477">
      <c r="AD477" s="52"/>
      <c r="AF477" s="52"/>
      <c r="AR477" s="52"/>
      <c r="AU477" s="52"/>
      <c r="AY477" s="53"/>
    </row>
    <row r="478">
      <c r="AD478" s="52"/>
      <c r="AF478" s="52"/>
      <c r="AR478" s="52"/>
      <c r="AU478" s="52"/>
      <c r="AY478" s="53"/>
    </row>
    <row r="479">
      <c r="AD479" s="52"/>
      <c r="AF479" s="52"/>
      <c r="AR479" s="52"/>
      <c r="AU479" s="52"/>
      <c r="AY479" s="53"/>
    </row>
    <row r="480">
      <c r="AD480" s="52"/>
      <c r="AF480" s="52"/>
      <c r="AR480" s="52"/>
      <c r="AU480" s="52"/>
      <c r="AY480" s="53"/>
    </row>
    <row r="481">
      <c r="AD481" s="52"/>
      <c r="AF481" s="52"/>
      <c r="AR481" s="52"/>
      <c r="AU481" s="52"/>
      <c r="AY481" s="53"/>
    </row>
    <row r="482">
      <c r="AD482" s="52"/>
      <c r="AF482" s="52"/>
      <c r="AR482" s="52"/>
      <c r="AU482" s="52"/>
      <c r="AY482" s="53"/>
    </row>
    <row r="483">
      <c r="AD483" s="52"/>
      <c r="AF483" s="52"/>
      <c r="AR483" s="52"/>
      <c r="AU483" s="52"/>
      <c r="AY483" s="53"/>
    </row>
    <row r="484">
      <c r="AD484" s="52"/>
      <c r="AF484" s="52"/>
      <c r="AR484" s="52"/>
      <c r="AU484" s="52"/>
      <c r="AY484" s="53"/>
    </row>
    <row r="485">
      <c r="AD485" s="52"/>
      <c r="AF485" s="52"/>
      <c r="AR485" s="52"/>
      <c r="AU485" s="52"/>
      <c r="AY485" s="53"/>
    </row>
    <row r="486">
      <c r="AD486" s="52"/>
      <c r="AF486" s="52"/>
      <c r="AR486" s="52"/>
      <c r="AU486" s="52"/>
      <c r="AY486" s="53"/>
    </row>
    <row r="487">
      <c r="AD487" s="52"/>
      <c r="AF487" s="52"/>
      <c r="AR487" s="52"/>
      <c r="AU487" s="52"/>
      <c r="AY487" s="53"/>
    </row>
    <row r="488">
      <c r="AD488" s="52"/>
      <c r="AF488" s="52"/>
      <c r="AR488" s="52"/>
      <c r="AU488" s="52"/>
      <c r="AY488" s="53"/>
    </row>
    <row r="489">
      <c r="AD489" s="52"/>
      <c r="AF489" s="52"/>
      <c r="AR489" s="52"/>
      <c r="AU489" s="52"/>
      <c r="AY489" s="53"/>
    </row>
    <row r="490">
      <c r="AD490" s="52"/>
      <c r="AF490" s="52"/>
      <c r="AR490" s="52"/>
      <c r="AU490" s="52"/>
      <c r="AY490" s="53"/>
    </row>
    <row r="491">
      <c r="AD491" s="52"/>
      <c r="AF491" s="52"/>
      <c r="AR491" s="52"/>
      <c r="AU491" s="52"/>
      <c r="AY491" s="53"/>
    </row>
    <row r="492">
      <c r="AD492" s="52"/>
      <c r="AF492" s="52"/>
      <c r="AR492" s="52"/>
      <c r="AU492" s="52"/>
      <c r="AY492" s="53"/>
    </row>
    <row r="493">
      <c r="AD493" s="52"/>
      <c r="AF493" s="52"/>
      <c r="AR493" s="52"/>
      <c r="AU493" s="52"/>
      <c r="AY493" s="53"/>
    </row>
    <row r="494">
      <c r="AD494" s="52"/>
      <c r="AF494" s="52"/>
      <c r="AR494" s="52"/>
      <c r="AU494" s="52"/>
      <c r="AY494" s="53"/>
    </row>
    <row r="495">
      <c r="AD495" s="52"/>
      <c r="AF495" s="52"/>
      <c r="AR495" s="52"/>
      <c r="AU495" s="52"/>
      <c r="AY495" s="53"/>
    </row>
    <row r="496">
      <c r="AD496" s="52"/>
      <c r="AF496" s="52"/>
      <c r="AR496" s="52"/>
      <c r="AU496" s="52"/>
      <c r="AY496" s="53"/>
    </row>
    <row r="497">
      <c r="AD497" s="52"/>
      <c r="AF497" s="52"/>
      <c r="AR497" s="52"/>
      <c r="AU497" s="52"/>
      <c r="AY497" s="53"/>
    </row>
    <row r="498">
      <c r="AD498" s="52"/>
      <c r="AF498" s="52"/>
      <c r="AR498" s="52"/>
      <c r="AU498" s="52"/>
      <c r="AY498" s="53"/>
    </row>
    <row r="499">
      <c r="AD499" s="52"/>
      <c r="AF499" s="52"/>
      <c r="AR499" s="52"/>
      <c r="AU499" s="52"/>
      <c r="AY499" s="53"/>
    </row>
    <row r="500">
      <c r="AD500" s="52"/>
      <c r="AF500" s="52"/>
      <c r="AR500" s="52"/>
      <c r="AU500" s="52"/>
      <c r="AY500" s="53"/>
    </row>
    <row r="501">
      <c r="AD501" s="52"/>
      <c r="AF501" s="52"/>
      <c r="AR501" s="52"/>
      <c r="AU501" s="52"/>
      <c r="AY501" s="53"/>
    </row>
    <row r="502">
      <c r="AD502" s="52"/>
      <c r="AF502" s="52"/>
      <c r="AR502" s="52"/>
      <c r="AU502" s="52"/>
      <c r="AY502" s="53"/>
    </row>
    <row r="503">
      <c r="AD503" s="52"/>
      <c r="AF503" s="52"/>
      <c r="AR503" s="52"/>
      <c r="AU503" s="52"/>
      <c r="AY503" s="53"/>
    </row>
    <row r="504">
      <c r="AD504" s="52"/>
      <c r="AF504" s="52"/>
      <c r="AR504" s="52"/>
      <c r="AU504" s="52"/>
      <c r="AY504" s="53"/>
    </row>
    <row r="505">
      <c r="AD505" s="52"/>
      <c r="AF505" s="52"/>
      <c r="AR505" s="52"/>
      <c r="AU505" s="52"/>
      <c r="AY505" s="53"/>
    </row>
    <row r="506">
      <c r="AD506" s="52"/>
      <c r="AF506" s="52"/>
      <c r="AR506" s="52"/>
      <c r="AU506" s="52"/>
      <c r="AY506" s="53"/>
    </row>
    <row r="507">
      <c r="AD507" s="52"/>
      <c r="AF507" s="52"/>
      <c r="AR507" s="52"/>
      <c r="AU507" s="52"/>
      <c r="AY507" s="53"/>
    </row>
    <row r="508">
      <c r="AD508" s="52"/>
      <c r="AF508" s="52"/>
      <c r="AR508" s="52"/>
      <c r="AU508" s="52"/>
      <c r="AY508" s="53"/>
    </row>
    <row r="509">
      <c r="AD509" s="52"/>
      <c r="AF509" s="52"/>
      <c r="AR509" s="52"/>
      <c r="AU509" s="52"/>
      <c r="AY509" s="53"/>
    </row>
    <row r="510">
      <c r="AD510" s="52"/>
      <c r="AF510" s="52"/>
      <c r="AR510" s="52"/>
      <c r="AU510" s="52"/>
      <c r="AY510" s="53"/>
    </row>
    <row r="511">
      <c r="AD511" s="52"/>
      <c r="AF511" s="52"/>
      <c r="AR511" s="52"/>
      <c r="AU511" s="52"/>
      <c r="AY511" s="53"/>
    </row>
    <row r="512">
      <c r="AD512" s="52"/>
      <c r="AF512" s="52"/>
      <c r="AR512" s="52"/>
      <c r="AU512" s="52"/>
      <c r="AY512" s="53"/>
    </row>
    <row r="513">
      <c r="AD513" s="52"/>
      <c r="AF513" s="52"/>
      <c r="AR513" s="52"/>
      <c r="AU513" s="52"/>
      <c r="AY513" s="53"/>
    </row>
    <row r="514">
      <c r="AD514" s="52"/>
      <c r="AF514" s="52"/>
      <c r="AR514" s="52"/>
      <c r="AU514" s="52"/>
      <c r="AY514" s="53"/>
    </row>
    <row r="515">
      <c r="AD515" s="52"/>
      <c r="AF515" s="52"/>
      <c r="AR515" s="52"/>
      <c r="AU515" s="52"/>
      <c r="AY515" s="53"/>
    </row>
    <row r="516">
      <c r="AD516" s="52"/>
      <c r="AF516" s="52"/>
      <c r="AR516" s="52"/>
      <c r="AU516" s="52"/>
      <c r="AY516" s="53"/>
    </row>
    <row r="517">
      <c r="AD517" s="52"/>
      <c r="AF517" s="52"/>
      <c r="AR517" s="52"/>
      <c r="AU517" s="52"/>
      <c r="AY517" s="53"/>
    </row>
    <row r="518">
      <c r="AD518" s="52"/>
      <c r="AF518" s="52"/>
      <c r="AR518" s="52"/>
      <c r="AU518" s="52"/>
      <c r="AY518" s="53"/>
    </row>
    <row r="519">
      <c r="AD519" s="52"/>
      <c r="AF519" s="52"/>
      <c r="AR519" s="52"/>
      <c r="AU519" s="52"/>
      <c r="AY519" s="53"/>
    </row>
    <row r="520">
      <c r="AD520" s="52"/>
      <c r="AF520" s="52"/>
      <c r="AR520" s="52"/>
      <c r="AU520" s="52"/>
      <c r="AY520" s="53"/>
    </row>
    <row r="521">
      <c r="AD521" s="52"/>
      <c r="AF521" s="52"/>
      <c r="AR521" s="52"/>
      <c r="AU521" s="52"/>
      <c r="AY521" s="53"/>
    </row>
    <row r="522">
      <c r="AD522" s="52"/>
      <c r="AF522" s="52"/>
      <c r="AR522" s="52"/>
      <c r="AU522" s="52"/>
      <c r="AY522" s="53"/>
    </row>
    <row r="523">
      <c r="AD523" s="52"/>
      <c r="AF523" s="52"/>
      <c r="AR523" s="52"/>
      <c r="AU523" s="52"/>
      <c r="AY523" s="53"/>
    </row>
    <row r="524">
      <c r="AD524" s="52"/>
      <c r="AF524" s="52"/>
      <c r="AR524" s="52"/>
      <c r="AU524" s="52"/>
      <c r="AY524" s="53"/>
    </row>
    <row r="525">
      <c r="AD525" s="52"/>
      <c r="AF525" s="52"/>
      <c r="AR525" s="52"/>
      <c r="AU525" s="52"/>
      <c r="AY525" s="53"/>
    </row>
    <row r="526">
      <c r="AD526" s="52"/>
      <c r="AF526" s="52"/>
      <c r="AR526" s="52"/>
      <c r="AU526" s="52"/>
      <c r="AY526" s="53"/>
    </row>
    <row r="527">
      <c r="AD527" s="52"/>
      <c r="AF527" s="52"/>
      <c r="AR527" s="52"/>
      <c r="AU527" s="52"/>
      <c r="AY527" s="53"/>
    </row>
    <row r="528">
      <c r="AD528" s="52"/>
      <c r="AF528" s="52"/>
      <c r="AR528" s="52"/>
      <c r="AU528" s="52"/>
      <c r="AY528" s="53"/>
    </row>
    <row r="529">
      <c r="AD529" s="52"/>
      <c r="AF529" s="52"/>
      <c r="AR529" s="52"/>
      <c r="AU529" s="52"/>
      <c r="AY529" s="53"/>
    </row>
    <row r="530">
      <c r="AD530" s="52"/>
      <c r="AF530" s="52"/>
      <c r="AR530" s="52"/>
      <c r="AU530" s="52"/>
      <c r="AY530" s="53"/>
    </row>
    <row r="531">
      <c r="AD531" s="52"/>
      <c r="AF531" s="52"/>
      <c r="AR531" s="52"/>
      <c r="AU531" s="52"/>
      <c r="AY531" s="53"/>
    </row>
    <row r="532">
      <c r="AD532" s="52"/>
      <c r="AF532" s="52"/>
      <c r="AR532" s="52"/>
      <c r="AU532" s="52"/>
      <c r="AY532" s="53"/>
    </row>
    <row r="533">
      <c r="AD533" s="52"/>
      <c r="AF533" s="52"/>
      <c r="AR533" s="52"/>
      <c r="AU533" s="52"/>
      <c r="AY533" s="53"/>
    </row>
    <row r="534">
      <c r="AD534" s="52"/>
      <c r="AF534" s="52"/>
      <c r="AR534" s="52"/>
      <c r="AU534" s="52"/>
      <c r="AY534" s="53"/>
    </row>
    <row r="535">
      <c r="AD535" s="52"/>
      <c r="AF535" s="52"/>
      <c r="AR535" s="52"/>
      <c r="AU535" s="52"/>
      <c r="AY535" s="53"/>
    </row>
    <row r="536">
      <c r="AD536" s="52"/>
      <c r="AF536" s="52"/>
      <c r="AR536" s="52"/>
      <c r="AU536" s="52"/>
      <c r="AY536" s="53"/>
    </row>
    <row r="537">
      <c r="AD537" s="52"/>
      <c r="AF537" s="52"/>
      <c r="AR537" s="52"/>
      <c r="AU537" s="52"/>
      <c r="AY537" s="53"/>
    </row>
    <row r="538">
      <c r="AD538" s="52"/>
      <c r="AF538" s="52"/>
      <c r="AR538" s="52"/>
      <c r="AU538" s="52"/>
      <c r="AY538" s="53"/>
    </row>
    <row r="539">
      <c r="AD539" s="52"/>
      <c r="AF539" s="52"/>
      <c r="AR539" s="52"/>
      <c r="AU539" s="52"/>
      <c r="AY539" s="53"/>
    </row>
    <row r="540">
      <c r="AD540" s="52"/>
      <c r="AF540" s="52"/>
      <c r="AR540" s="52"/>
      <c r="AU540" s="52"/>
      <c r="AY540" s="53"/>
    </row>
    <row r="541">
      <c r="AD541" s="52"/>
      <c r="AF541" s="52"/>
      <c r="AR541" s="52"/>
      <c r="AU541" s="52"/>
      <c r="AY541" s="53"/>
    </row>
    <row r="542">
      <c r="AD542" s="52"/>
      <c r="AF542" s="52"/>
      <c r="AR542" s="52"/>
      <c r="AU542" s="52"/>
      <c r="AY542" s="53"/>
    </row>
    <row r="543">
      <c r="AD543" s="52"/>
      <c r="AF543" s="52"/>
      <c r="AR543" s="52"/>
      <c r="AU543" s="52"/>
      <c r="AY543" s="53"/>
    </row>
    <row r="544">
      <c r="AD544" s="52"/>
      <c r="AF544" s="52"/>
      <c r="AR544" s="52"/>
      <c r="AU544" s="52"/>
      <c r="AY544" s="53"/>
    </row>
    <row r="545">
      <c r="AD545" s="52"/>
      <c r="AF545" s="52"/>
      <c r="AR545" s="52"/>
      <c r="AU545" s="52"/>
      <c r="AY545" s="53"/>
    </row>
    <row r="546">
      <c r="AD546" s="52"/>
      <c r="AF546" s="52"/>
      <c r="AR546" s="52"/>
      <c r="AU546" s="52"/>
      <c r="AY546" s="53"/>
    </row>
    <row r="547">
      <c r="AD547" s="52"/>
      <c r="AF547" s="52"/>
      <c r="AR547" s="52"/>
      <c r="AU547" s="52"/>
      <c r="AY547" s="53"/>
    </row>
    <row r="548">
      <c r="AD548" s="52"/>
      <c r="AF548" s="52"/>
      <c r="AR548" s="52"/>
      <c r="AU548" s="52"/>
      <c r="AY548" s="53"/>
    </row>
    <row r="549">
      <c r="AD549" s="52"/>
      <c r="AF549" s="52"/>
      <c r="AR549" s="52"/>
      <c r="AU549" s="52"/>
      <c r="AY549" s="53"/>
    </row>
    <row r="550">
      <c r="AD550" s="52"/>
      <c r="AF550" s="52"/>
      <c r="AR550" s="52"/>
      <c r="AU550" s="52"/>
      <c r="AY550" s="53"/>
    </row>
    <row r="551">
      <c r="AD551" s="52"/>
      <c r="AF551" s="52"/>
      <c r="AR551" s="52"/>
      <c r="AU551" s="52"/>
      <c r="AY551" s="53"/>
    </row>
    <row r="552">
      <c r="AD552" s="52"/>
      <c r="AF552" s="52"/>
      <c r="AR552" s="52"/>
      <c r="AU552" s="52"/>
      <c r="AY552" s="53"/>
    </row>
    <row r="553">
      <c r="AD553" s="52"/>
      <c r="AF553" s="52"/>
      <c r="AR553" s="52"/>
      <c r="AU553" s="52"/>
      <c r="AY553" s="53"/>
    </row>
    <row r="554">
      <c r="AD554" s="52"/>
      <c r="AF554" s="52"/>
      <c r="AR554" s="52"/>
      <c r="AU554" s="52"/>
      <c r="AY554" s="53"/>
    </row>
    <row r="555">
      <c r="AD555" s="52"/>
      <c r="AF555" s="52"/>
      <c r="AR555" s="52"/>
      <c r="AU555" s="52"/>
      <c r="AY555" s="53"/>
    </row>
    <row r="556">
      <c r="AD556" s="52"/>
      <c r="AF556" s="52"/>
      <c r="AR556" s="52"/>
      <c r="AU556" s="52"/>
      <c r="AY556" s="53"/>
    </row>
    <row r="557">
      <c r="AD557" s="52"/>
      <c r="AF557" s="52"/>
      <c r="AR557" s="52"/>
      <c r="AU557" s="52"/>
      <c r="AY557" s="53"/>
    </row>
    <row r="558">
      <c r="AD558" s="52"/>
      <c r="AF558" s="52"/>
      <c r="AR558" s="52"/>
      <c r="AU558" s="52"/>
      <c r="AY558" s="53"/>
    </row>
    <row r="559">
      <c r="AD559" s="52"/>
      <c r="AF559" s="52"/>
      <c r="AR559" s="52"/>
      <c r="AU559" s="52"/>
      <c r="AY559" s="53"/>
    </row>
    <row r="560">
      <c r="AD560" s="52"/>
      <c r="AF560" s="52"/>
      <c r="AR560" s="52"/>
      <c r="AU560" s="52"/>
      <c r="AY560" s="53"/>
    </row>
    <row r="561">
      <c r="AD561" s="52"/>
      <c r="AF561" s="52"/>
      <c r="AR561" s="52"/>
      <c r="AU561" s="52"/>
      <c r="AY561" s="53"/>
    </row>
    <row r="562">
      <c r="AD562" s="52"/>
      <c r="AF562" s="52"/>
      <c r="AR562" s="52"/>
      <c r="AU562" s="52"/>
      <c r="AY562" s="53"/>
    </row>
    <row r="563">
      <c r="AD563" s="52"/>
      <c r="AF563" s="52"/>
      <c r="AR563" s="52"/>
      <c r="AU563" s="52"/>
      <c r="AY563" s="53"/>
    </row>
    <row r="564">
      <c r="AD564" s="52"/>
      <c r="AF564" s="52"/>
      <c r="AR564" s="52"/>
      <c r="AU564" s="52"/>
      <c r="AY564" s="53"/>
    </row>
    <row r="565">
      <c r="AD565" s="52"/>
      <c r="AF565" s="52"/>
      <c r="AR565" s="52"/>
      <c r="AU565" s="52"/>
      <c r="AY565" s="53"/>
    </row>
    <row r="566">
      <c r="AD566" s="52"/>
      <c r="AF566" s="52"/>
      <c r="AR566" s="52"/>
      <c r="AU566" s="52"/>
      <c r="AY566" s="53"/>
    </row>
    <row r="567">
      <c r="AD567" s="52"/>
      <c r="AF567" s="52"/>
      <c r="AR567" s="52"/>
      <c r="AU567" s="52"/>
      <c r="AY567" s="53"/>
    </row>
    <row r="568">
      <c r="AD568" s="52"/>
      <c r="AF568" s="52"/>
      <c r="AR568" s="52"/>
      <c r="AU568" s="52"/>
      <c r="AY568" s="53"/>
    </row>
    <row r="569">
      <c r="AD569" s="52"/>
      <c r="AF569" s="52"/>
      <c r="AR569" s="52"/>
      <c r="AU569" s="52"/>
      <c r="AY569" s="53"/>
    </row>
    <row r="570">
      <c r="AD570" s="52"/>
      <c r="AF570" s="52"/>
      <c r="AR570" s="52"/>
      <c r="AU570" s="52"/>
      <c r="AY570" s="53"/>
    </row>
    <row r="571">
      <c r="AD571" s="52"/>
      <c r="AF571" s="52"/>
      <c r="AR571" s="52"/>
      <c r="AU571" s="52"/>
      <c r="AY571" s="53"/>
    </row>
    <row r="572">
      <c r="AD572" s="52"/>
      <c r="AF572" s="52"/>
      <c r="AR572" s="52"/>
      <c r="AU572" s="52"/>
      <c r="AY572" s="53"/>
    </row>
    <row r="573">
      <c r="AD573" s="52"/>
      <c r="AF573" s="52"/>
      <c r="AR573" s="52"/>
      <c r="AU573" s="52"/>
      <c r="AY573" s="53"/>
    </row>
    <row r="574">
      <c r="AD574" s="52"/>
      <c r="AF574" s="52"/>
      <c r="AR574" s="52"/>
      <c r="AU574" s="52"/>
      <c r="AY574" s="53"/>
    </row>
    <row r="575">
      <c r="AD575" s="52"/>
      <c r="AF575" s="52"/>
      <c r="AR575" s="52"/>
      <c r="AU575" s="52"/>
      <c r="AY575" s="53"/>
    </row>
    <row r="576">
      <c r="AD576" s="52"/>
      <c r="AF576" s="52"/>
      <c r="AR576" s="52"/>
      <c r="AU576" s="52"/>
      <c r="AY576" s="53"/>
    </row>
    <row r="577">
      <c r="AD577" s="52"/>
      <c r="AF577" s="52"/>
      <c r="AR577" s="52"/>
      <c r="AU577" s="52"/>
      <c r="AY577" s="53"/>
    </row>
    <row r="578">
      <c r="AD578" s="52"/>
      <c r="AF578" s="52"/>
      <c r="AR578" s="52"/>
      <c r="AU578" s="52"/>
      <c r="AY578" s="53"/>
    </row>
    <row r="579">
      <c r="AD579" s="52"/>
      <c r="AF579" s="52"/>
      <c r="AR579" s="52"/>
      <c r="AU579" s="52"/>
      <c r="AY579" s="53"/>
    </row>
    <row r="580">
      <c r="AD580" s="52"/>
      <c r="AF580" s="52"/>
      <c r="AR580" s="52"/>
      <c r="AU580" s="52"/>
      <c r="AY580" s="53"/>
    </row>
    <row r="581">
      <c r="AD581" s="52"/>
      <c r="AF581" s="52"/>
      <c r="AR581" s="52"/>
      <c r="AU581" s="52"/>
      <c r="AY581" s="53"/>
    </row>
    <row r="582">
      <c r="AD582" s="52"/>
      <c r="AF582" s="52"/>
      <c r="AR582" s="52"/>
      <c r="AU582" s="52"/>
      <c r="AY582" s="53"/>
    </row>
    <row r="583">
      <c r="AD583" s="52"/>
      <c r="AF583" s="52"/>
      <c r="AR583" s="52"/>
      <c r="AU583" s="52"/>
      <c r="AY583" s="53"/>
    </row>
    <row r="584">
      <c r="AD584" s="52"/>
      <c r="AF584" s="52"/>
      <c r="AR584" s="52"/>
      <c r="AU584" s="52"/>
      <c r="AY584" s="53"/>
    </row>
    <row r="585">
      <c r="AD585" s="52"/>
      <c r="AF585" s="52"/>
      <c r="AR585" s="52"/>
      <c r="AU585" s="52"/>
      <c r="AY585" s="53"/>
    </row>
    <row r="586">
      <c r="AD586" s="52"/>
      <c r="AF586" s="52"/>
      <c r="AR586" s="52"/>
      <c r="AU586" s="52"/>
      <c r="AY586" s="53"/>
    </row>
    <row r="587">
      <c r="AD587" s="52"/>
      <c r="AF587" s="52"/>
      <c r="AR587" s="52"/>
      <c r="AU587" s="52"/>
      <c r="AY587" s="53"/>
    </row>
    <row r="588">
      <c r="AD588" s="52"/>
      <c r="AF588" s="52"/>
      <c r="AR588" s="52"/>
      <c r="AU588" s="52"/>
      <c r="AY588" s="53"/>
    </row>
    <row r="589">
      <c r="AD589" s="52"/>
      <c r="AF589" s="52"/>
      <c r="AR589" s="52"/>
      <c r="AU589" s="52"/>
      <c r="AY589" s="53"/>
    </row>
    <row r="590">
      <c r="AD590" s="52"/>
      <c r="AF590" s="52"/>
      <c r="AR590" s="52"/>
      <c r="AU590" s="52"/>
      <c r="AY590" s="53"/>
    </row>
    <row r="591">
      <c r="AD591" s="52"/>
      <c r="AF591" s="52"/>
      <c r="AR591" s="52"/>
      <c r="AU591" s="52"/>
      <c r="AY591" s="53"/>
    </row>
    <row r="592">
      <c r="AD592" s="52"/>
      <c r="AF592" s="52"/>
      <c r="AR592" s="52"/>
      <c r="AU592" s="52"/>
      <c r="AY592" s="53"/>
    </row>
    <row r="593">
      <c r="AD593" s="52"/>
      <c r="AF593" s="52"/>
      <c r="AR593" s="52"/>
      <c r="AU593" s="52"/>
      <c r="AY593" s="53"/>
    </row>
    <row r="594">
      <c r="AD594" s="52"/>
      <c r="AF594" s="52"/>
      <c r="AR594" s="52"/>
      <c r="AU594" s="52"/>
      <c r="AY594" s="53"/>
    </row>
    <row r="595">
      <c r="AD595" s="52"/>
      <c r="AF595" s="52"/>
      <c r="AR595" s="52"/>
      <c r="AU595" s="52"/>
      <c r="AY595" s="53"/>
    </row>
    <row r="596">
      <c r="AD596" s="52"/>
      <c r="AF596" s="52"/>
      <c r="AR596" s="52"/>
      <c r="AU596" s="52"/>
      <c r="AY596" s="53"/>
    </row>
    <row r="597">
      <c r="AD597" s="52"/>
      <c r="AF597" s="52"/>
      <c r="AR597" s="52"/>
      <c r="AU597" s="52"/>
      <c r="AY597" s="53"/>
    </row>
    <row r="598">
      <c r="AD598" s="52"/>
      <c r="AF598" s="52"/>
      <c r="AR598" s="52"/>
      <c r="AU598" s="52"/>
      <c r="AY598" s="53"/>
    </row>
    <row r="599">
      <c r="AD599" s="52"/>
      <c r="AF599" s="52"/>
      <c r="AR599" s="52"/>
      <c r="AU599" s="52"/>
      <c r="AY599" s="53"/>
    </row>
    <row r="600">
      <c r="AD600" s="52"/>
      <c r="AF600" s="52"/>
      <c r="AR600" s="52"/>
      <c r="AU600" s="52"/>
      <c r="AY600" s="53"/>
    </row>
    <row r="601">
      <c r="AD601" s="52"/>
      <c r="AF601" s="52"/>
      <c r="AR601" s="52"/>
      <c r="AU601" s="52"/>
      <c r="AY601" s="53"/>
    </row>
    <row r="602">
      <c r="AD602" s="52"/>
      <c r="AF602" s="52"/>
      <c r="AR602" s="52"/>
      <c r="AU602" s="52"/>
      <c r="AY602" s="53"/>
    </row>
    <row r="603">
      <c r="AD603" s="52"/>
      <c r="AF603" s="52"/>
      <c r="AR603" s="52"/>
      <c r="AU603" s="52"/>
      <c r="AY603" s="53"/>
    </row>
    <row r="604">
      <c r="AD604" s="52"/>
      <c r="AF604" s="52"/>
      <c r="AR604" s="52"/>
      <c r="AU604" s="52"/>
      <c r="AY604" s="53"/>
    </row>
    <row r="605">
      <c r="AD605" s="52"/>
      <c r="AF605" s="52"/>
      <c r="AR605" s="52"/>
      <c r="AU605" s="52"/>
      <c r="AY605" s="53"/>
    </row>
    <row r="606">
      <c r="AD606" s="52"/>
      <c r="AF606" s="52"/>
      <c r="AR606" s="52"/>
      <c r="AU606" s="52"/>
      <c r="AY606" s="53"/>
    </row>
    <row r="607">
      <c r="AD607" s="52"/>
      <c r="AF607" s="52"/>
      <c r="AR607" s="52"/>
      <c r="AU607" s="52"/>
      <c r="AY607" s="53"/>
    </row>
    <row r="608">
      <c r="AD608" s="52"/>
      <c r="AF608" s="52"/>
      <c r="AR608" s="52"/>
      <c r="AU608" s="52"/>
      <c r="AY608" s="53"/>
    </row>
    <row r="609">
      <c r="AD609" s="52"/>
      <c r="AF609" s="52"/>
      <c r="AR609" s="52"/>
      <c r="AU609" s="52"/>
      <c r="AY609" s="53"/>
    </row>
    <row r="610">
      <c r="AD610" s="52"/>
      <c r="AF610" s="52"/>
      <c r="AR610" s="52"/>
      <c r="AU610" s="52"/>
      <c r="AY610" s="53"/>
    </row>
    <row r="611">
      <c r="AD611" s="52"/>
      <c r="AF611" s="52"/>
      <c r="AR611" s="52"/>
      <c r="AU611" s="52"/>
      <c r="AY611" s="53"/>
    </row>
    <row r="612">
      <c r="AD612" s="52"/>
      <c r="AF612" s="52"/>
      <c r="AR612" s="52"/>
      <c r="AU612" s="52"/>
      <c r="AY612" s="53"/>
    </row>
    <row r="613">
      <c r="AD613" s="52"/>
      <c r="AF613" s="52"/>
      <c r="AR613" s="52"/>
      <c r="AU613" s="52"/>
      <c r="AY613" s="53"/>
    </row>
    <row r="614">
      <c r="AD614" s="52"/>
      <c r="AF614" s="52"/>
      <c r="AR614" s="52"/>
      <c r="AU614" s="52"/>
      <c r="AY614" s="53"/>
    </row>
    <row r="615">
      <c r="AD615" s="52"/>
      <c r="AF615" s="52"/>
      <c r="AR615" s="52"/>
      <c r="AU615" s="52"/>
      <c r="AY615" s="53"/>
    </row>
    <row r="616">
      <c r="AD616" s="52"/>
      <c r="AF616" s="52"/>
      <c r="AR616" s="52"/>
      <c r="AU616" s="52"/>
      <c r="AY616" s="53"/>
    </row>
    <row r="617">
      <c r="AD617" s="52"/>
      <c r="AF617" s="52"/>
      <c r="AR617" s="52"/>
      <c r="AU617" s="52"/>
      <c r="AY617" s="53"/>
    </row>
    <row r="618">
      <c r="AD618" s="52"/>
      <c r="AF618" s="52"/>
      <c r="AR618" s="52"/>
      <c r="AU618" s="52"/>
      <c r="AY618" s="53"/>
    </row>
    <row r="619">
      <c r="AD619" s="52"/>
      <c r="AF619" s="52"/>
      <c r="AR619" s="52"/>
      <c r="AU619" s="52"/>
      <c r="AY619" s="53"/>
    </row>
    <row r="620">
      <c r="AD620" s="52"/>
      <c r="AF620" s="52"/>
      <c r="AR620" s="52"/>
      <c r="AU620" s="52"/>
      <c r="AY620" s="53"/>
    </row>
    <row r="621">
      <c r="AD621" s="52"/>
      <c r="AF621" s="52"/>
      <c r="AR621" s="52"/>
      <c r="AU621" s="52"/>
      <c r="AY621" s="53"/>
    </row>
    <row r="622">
      <c r="AD622" s="52"/>
      <c r="AF622" s="52"/>
      <c r="AR622" s="52"/>
      <c r="AU622" s="52"/>
      <c r="AY622" s="53"/>
    </row>
    <row r="623">
      <c r="AD623" s="52"/>
      <c r="AF623" s="52"/>
      <c r="AR623" s="52"/>
      <c r="AU623" s="52"/>
      <c r="AY623" s="53"/>
    </row>
    <row r="624">
      <c r="AD624" s="52"/>
      <c r="AF624" s="52"/>
      <c r="AR624" s="52"/>
      <c r="AU624" s="52"/>
      <c r="AY624" s="53"/>
    </row>
    <row r="625">
      <c r="AD625" s="52"/>
      <c r="AF625" s="52"/>
      <c r="AR625" s="52"/>
      <c r="AU625" s="52"/>
      <c r="AY625" s="53"/>
    </row>
    <row r="626">
      <c r="AD626" s="52"/>
      <c r="AF626" s="52"/>
      <c r="AR626" s="52"/>
      <c r="AU626" s="52"/>
      <c r="AY626" s="53"/>
    </row>
    <row r="627">
      <c r="AD627" s="52"/>
      <c r="AF627" s="52"/>
      <c r="AR627" s="52"/>
      <c r="AU627" s="52"/>
      <c r="AY627" s="53"/>
    </row>
    <row r="628">
      <c r="AD628" s="52"/>
      <c r="AF628" s="52"/>
      <c r="AR628" s="52"/>
      <c r="AU628" s="52"/>
      <c r="AY628" s="53"/>
    </row>
    <row r="629">
      <c r="AD629" s="52"/>
      <c r="AF629" s="52"/>
      <c r="AR629" s="52"/>
      <c r="AU629" s="52"/>
      <c r="AY629" s="53"/>
    </row>
    <row r="630">
      <c r="AD630" s="52"/>
      <c r="AF630" s="52"/>
      <c r="AR630" s="52"/>
      <c r="AU630" s="52"/>
      <c r="AY630" s="53"/>
    </row>
    <row r="631">
      <c r="AD631" s="52"/>
      <c r="AF631" s="52"/>
      <c r="AR631" s="52"/>
      <c r="AU631" s="52"/>
      <c r="AY631" s="53"/>
    </row>
    <row r="632">
      <c r="AD632" s="52"/>
      <c r="AF632" s="52"/>
      <c r="AR632" s="52"/>
      <c r="AU632" s="52"/>
      <c r="AY632" s="53"/>
    </row>
    <row r="633">
      <c r="AD633" s="52"/>
      <c r="AF633" s="52"/>
      <c r="AR633" s="52"/>
      <c r="AU633" s="52"/>
      <c r="AY633" s="53"/>
    </row>
    <row r="634">
      <c r="AD634" s="52"/>
      <c r="AF634" s="52"/>
      <c r="AR634" s="52"/>
      <c r="AU634" s="52"/>
      <c r="AY634" s="53"/>
    </row>
    <row r="635">
      <c r="AD635" s="52"/>
      <c r="AF635" s="52"/>
      <c r="AR635" s="52"/>
      <c r="AU635" s="52"/>
      <c r="AY635" s="53"/>
    </row>
    <row r="636">
      <c r="AD636" s="52"/>
      <c r="AF636" s="52"/>
      <c r="AR636" s="52"/>
      <c r="AU636" s="52"/>
      <c r="AY636" s="53"/>
    </row>
    <row r="637">
      <c r="AD637" s="52"/>
      <c r="AF637" s="52"/>
      <c r="AR637" s="52"/>
      <c r="AU637" s="52"/>
      <c r="AY637" s="53"/>
    </row>
    <row r="638">
      <c r="AD638" s="52"/>
      <c r="AF638" s="52"/>
      <c r="AR638" s="52"/>
      <c r="AU638" s="52"/>
      <c r="AY638" s="53"/>
    </row>
    <row r="639">
      <c r="AD639" s="52"/>
      <c r="AF639" s="52"/>
      <c r="AR639" s="52"/>
      <c r="AU639" s="52"/>
      <c r="AY639" s="53"/>
    </row>
    <row r="640">
      <c r="AD640" s="52"/>
      <c r="AF640" s="52"/>
      <c r="AR640" s="52"/>
      <c r="AU640" s="52"/>
      <c r="AY640" s="53"/>
    </row>
    <row r="641">
      <c r="AD641" s="52"/>
      <c r="AF641" s="52"/>
      <c r="AR641" s="52"/>
      <c r="AU641" s="52"/>
      <c r="AY641" s="53"/>
    </row>
    <row r="642">
      <c r="AD642" s="52"/>
      <c r="AF642" s="52"/>
      <c r="AR642" s="52"/>
      <c r="AU642" s="52"/>
      <c r="AY642" s="53"/>
    </row>
    <row r="643">
      <c r="AD643" s="52"/>
      <c r="AF643" s="52"/>
      <c r="AR643" s="52"/>
      <c r="AU643" s="52"/>
      <c r="AY643" s="53"/>
    </row>
    <row r="644">
      <c r="AD644" s="52"/>
      <c r="AF644" s="52"/>
      <c r="AR644" s="52"/>
      <c r="AU644" s="52"/>
      <c r="AY644" s="53"/>
    </row>
    <row r="645">
      <c r="AD645" s="52"/>
      <c r="AF645" s="52"/>
      <c r="AR645" s="52"/>
      <c r="AU645" s="52"/>
      <c r="AY645" s="53"/>
    </row>
    <row r="646">
      <c r="AD646" s="52"/>
      <c r="AF646" s="52"/>
      <c r="AR646" s="52"/>
      <c r="AU646" s="52"/>
      <c r="AY646" s="53"/>
    </row>
    <row r="647">
      <c r="AD647" s="52"/>
      <c r="AF647" s="52"/>
      <c r="AR647" s="52"/>
      <c r="AU647" s="52"/>
      <c r="AY647" s="53"/>
    </row>
    <row r="648">
      <c r="AD648" s="52"/>
      <c r="AF648" s="52"/>
      <c r="AR648" s="52"/>
      <c r="AU648" s="52"/>
      <c r="AY648" s="53"/>
    </row>
    <row r="649">
      <c r="AD649" s="52"/>
      <c r="AF649" s="52"/>
      <c r="AR649" s="52"/>
      <c r="AU649" s="52"/>
      <c r="AY649" s="53"/>
    </row>
    <row r="650">
      <c r="AD650" s="52"/>
      <c r="AF650" s="52"/>
      <c r="AR650" s="52"/>
      <c r="AU650" s="52"/>
      <c r="AY650" s="53"/>
    </row>
    <row r="651">
      <c r="AD651" s="52"/>
      <c r="AF651" s="52"/>
      <c r="AR651" s="52"/>
      <c r="AU651" s="52"/>
      <c r="AY651" s="53"/>
    </row>
    <row r="652">
      <c r="AD652" s="52"/>
      <c r="AF652" s="52"/>
      <c r="AR652" s="52"/>
      <c r="AU652" s="52"/>
      <c r="AY652" s="53"/>
    </row>
    <row r="653">
      <c r="AD653" s="52"/>
      <c r="AF653" s="52"/>
      <c r="AR653" s="52"/>
      <c r="AU653" s="52"/>
      <c r="AY653" s="53"/>
    </row>
    <row r="654">
      <c r="AD654" s="52"/>
      <c r="AF654" s="52"/>
      <c r="AR654" s="52"/>
      <c r="AU654" s="52"/>
      <c r="AY654" s="53"/>
    </row>
    <row r="655">
      <c r="AD655" s="52"/>
      <c r="AF655" s="52"/>
      <c r="AR655" s="52"/>
      <c r="AU655" s="52"/>
      <c r="AY655" s="53"/>
    </row>
    <row r="656">
      <c r="AD656" s="52"/>
      <c r="AF656" s="52"/>
      <c r="AR656" s="52"/>
      <c r="AU656" s="52"/>
      <c r="AY656" s="53"/>
    </row>
    <row r="657">
      <c r="AD657" s="52"/>
      <c r="AF657" s="52"/>
      <c r="AR657" s="52"/>
      <c r="AU657" s="52"/>
      <c r="AY657" s="53"/>
    </row>
    <row r="658">
      <c r="AD658" s="52"/>
      <c r="AF658" s="52"/>
      <c r="AR658" s="52"/>
      <c r="AU658" s="52"/>
      <c r="AY658" s="53"/>
    </row>
    <row r="659">
      <c r="AD659" s="52"/>
      <c r="AF659" s="52"/>
      <c r="AR659" s="52"/>
      <c r="AU659" s="52"/>
      <c r="AY659" s="53"/>
    </row>
    <row r="660">
      <c r="AD660" s="52"/>
      <c r="AF660" s="52"/>
      <c r="AR660" s="52"/>
      <c r="AU660" s="52"/>
      <c r="AY660" s="53"/>
    </row>
    <row r="661">
      <c r="AD661" s="52"/>
      <c r="AF661" s="52"/>
      <c r="AR661" s="52"/>
      <c r="AU661" s="52"/>
      <c r="AY661" s="53"/>
    </row>
    <row r="662">
      <c r="AD662" s="52"/>
      <c r="AF662" s="52"/>
      <c r="AR662" s="52"/>
      <c r="AU662" s="52"/>
      <c r="AY662" s="53"/>
    </row>
    <row r="663">
      <c r="AD663" s="52"/>
      <c r="AF663" s="52"/>
      <c r="AR663" s="52"/>
      <c r="AU663" s="52"/>
      <c r="AY663" s="53"/>
    </row>
    <row r="664">
      <c r="AD664" s="52"/>
      <c r="AF664" s="52"/>
      <c r="AR664" s="52"/>
      <c r="AU664" s="52"/>
      <c r="AY664" s="53"/>
    </row>
    <row r="665">
      <c r="AD665" s="52"/>
      <c r="AF665" s="52"/>
      <c r="AR665" s="52"/>
      <c r="AU665" s="52"/>
      <c r="AY665" s="53"/>
    </row>
    <row r="666">
      <c r="AD666" s="52"/>
      <c r="AF666" s="52"/>
      <c r="AR666" s="52"/>
      <c r="AU666" s="52"/>
      <c r="AY666" s="53"/>
    </row>
    <row r="667">
      <c r="AD667" s="52"/>
      <c r="AF667" s="52"/>
      <c r="AR667" s="52"/>
      <c r="AU667" s="52"/>
      <c r="AY667" s="53"/>
    </row>
    <row r="668">
      <c r="AD668" s="52"/>
      <c r="AF668" s="52"/>
      <c r="AR668" s="52"/>
      <c r="AU668" s="52"/>
      <c r="AY668" s="53"/>
    </row>
    <row r="669">
      <c r="AD669" s="52"/>
      <c r="AF669" s="52"/>
      <c r="AR669" s="52"/>
      <c r="AU669" s="52"/>
      <c r="AY669" s="53"/>
    </row>
    <row r="670">
      <c r="AD670" s="52"/>
      <c r="AF670" s="52"/>
      <c r="AR670" s="52"/>
      <c r="AU670" s="52"/>
      <c r="AY670" s="53"/>
    </row>
    <row r="671">
      <c r="AD671" s="52"/>
      <c r="AF671" s="52"/>
      <c r="AR671" s="52"/>
      <c r="AU671" s="52"/>
      <c r="AY671" s="53"/>
    </row>
    <row r="672">
      <c r="AD672" s="52"/>
      <c r="AF672" s="52"/>
      <c r="AR672" s="52"/>
      <c r="AU672" s="52"/>
      <c r="AY672" s="53"/>
    </row>
    <row r="673">
      <c r="AD673" s="52"/>
      <c r="AF673" s="52"/>
      <c r="AR673" s="52"/>
      <c r="AU673" s="52"/>
      <c r="AY673" s="53"/>
    </row>
    <row r="674">
      <c r="AD674" s="52"/>
      <c r="AF674" s="52"/>
      <c r="AR674" s="52"/>
      <c r="AU674" s="52"/>
      <c r="AY674" s="53"/>
    </row>
    <row r="675">
      <c r="AD675" s="52"/>
      <c r="AF675" s="52"/>
      <c r="AR675" s="52"/>
      <c r="AU675" s="52"/>
      <c r="AY675" s="53"/>
    </row>
    <row r="676">
      <c r="AD676" s="52"/>
      <c r="AF676" s="52"/>
      <c r="AR676" s="52"/>
      <c r="AU676" s="52"/>
      <c r="AY676" s="53"/>
    </row>
    <row r="677">
      <c r="AD677" s="52"/>
      <c r="AF677" s="52"/>
      <c r="AR677" s="52"/>
      <c r="AU677" s="52"/>
      <c r="AY677" s="53"/>
    </row>
    <row r="678">
      <c r="AD678" s="52"/>
      <c r="AF678" s="52"/>
      <c r="AR678" s="52"/>
      <c r="AU678" s="52"/>
      <c r="AY678" s="53"/>
    </row>
    <row r="679">
      <c r="AD679" s="52"/>
      <c r="AF679" s="52"/>
      <c r="AR679" s="52"/>
      <c r="AU679" s="52"/>
      <c r="AY679" s="53"/>
    </row>
    <row r="680">
      <c r="AD680" s="52"/>
      <c r="AF680" s="52"/>
      <c r="AR680" s="52"/>
      <c r="AU680" s="52"/>
      <c r="AY680" s="53"/>
    </row>
    <row r="681">
      <c r="AD681" s="52"/>
      <c r="AF681" s="52"/>
      <c r="AR681" s="52"/>
      <c r="AU681" s="52"/>
      <c r="AY681" s="53"/>
    </row>
    <row r="682">
      <c r="AD682" s="52"/>
      <c r="AF682" s="52"/>
      <c r="AR682" s="52"/>
      <c r="AU682" s="52"/>
      <c r="AY682" s="53"/>
    </row>
    <row r="683">
      <c r="AD683" s="52"/>
      <c r="AF683" s="52"/>
      <c r="AR683" s="52"/>
      <c r="AU683" s="52"/>
      <c r="AY683" s="53"/>
    </row>
    <row r="684">
      <c r="AD684" s="52"/>
      <c r="AF684" s="52"/>
      <c r="AR684" s="52"/>
      <c r="AU684" s="52"/>
      <c r="AY684" s="53"/>
    </row>
    <row r="685">
      <c r="AD685" s="52"/>
      <c r="AF685" s="52"/>
      <c r="AR685" s="52"/>
      <c r="AU685" s="52"/>
      <c r="AY685" s="53"/>
    </row>
    <row r="686">
      <c r="AD686" s="52"/>
      <c r="AF686" s="52"/>
      <c r="AR686" s="52"/>
      <c r="AU686" s="52"/>
      <c r="AY686" s="53"/>
    </row>
    <row r="687">
      <c r="AD687" s="52"/>
      <c r="AF687" s="52"/>
      <c r="AR687" s="52"/>
      <c r="AU687" s="52"/>
      <c r="AY687" s="53"/>
    </row>
    <row r="688">
      <c r="AD688" s="52"/>
      <c r="AF688" s="52"/>
      <c r="AR688" s="52"/>
      <c r="AU688" s="52"/>
      <c r="AY688" s="53"/>
    </row>
    <row r="689">
      <c r="AD689" s="52"/>
      <c r="AF689" s="52"/>
      <c r="AR689" s="52"/>
      <c r="AU689" s="52"/>
      <c r="AY689" s="53"/>
    </row>
    <row r="690">
      <c r="AD690" s="52"/>
      <c r="AF690" s="52"/>
      <c r="AR690" s="52"/>
      <c r="AU690" s="52"/>
      <c r="AY690" s="53"/>
    </row>
    <row r="691">
      <c r="AD691" s="52"/>
      <c r="AF691" s="52"/>
      <c r="AR691" s="52"/>
      <c r="AU691" s="52"/>
      <c r="AY691" s="53"/>
    </row>
    <row r="692">
      <c r="AD692" s="52"/>
      <c r="AF692" s="52"/>
      <c r="AR692" s="52"/>
      <c r="AU692" s="52"/>
      <c r="AY692" s="53"/>
    </row>
    <row r="693">
      <c r="AD693" s="52"/>
      <c r="AF693" s="52"/>
      <c r="AR693" s="52"/>
      <c r="AU693" s="52"/>
      <c r="AY693" s="53"/>
    </row>
    <row r="694">
      <c r="AD694" s="52"/>
      <c r="AF694" s="52"/>
      <c r="AR694" s="52"/>
      <c r="AU694" s="52"/>
      <c r="AY694" s="53"/>
    </row>
    <row r="695">
      <c r="AD695" s="52"/>
      <c r="AF695" s="52"/>
      <c r="AR695" s="52"/>
      <c r="AU695" s="52"/>
      <c r="AY695" s="53"/>
    </row>
    <row r="696">
      <c r="AD696" s="52"/>
      <c r="AF696" s="52"/>
      <c r="AR696" s="52"/>
      <c r="AU696" s="52"/>
      <c r="AY696" s="53"/>
    </row>
    <row r="697">
      <c r="AD697" s="52"/>
      <c r="AF697" s="52"/>
      <c r="AR697" s="52"/>
      <c r="AU697" s="52"/>
      <c r="AY697" s="53"/>
    </row>
    <row r="698">
      <c r="AD698" s="52"/>
      <c r="AF698" s="52"/>
      <c r="AR698" s="52"/>
      <c r="AU698" s="52"/>
      <c r="AY698" s="53"/>
    </row>
    <row r="699">
      <c r="AD699" s="52"/>
      <c r="AF699" s="52"/>
      <c r="AR699" s="52"/>
      <c r="AU699" s="52"/>
      <c r="AY699" s="53"/>
    </row>
    <row r="700">
      <c r="AD700" s="52"/>
      <c r="AF700" s="52"/>
      <c r="AR700" s="52"/>
      <c r="AU700" s="52"/>
      <c r="AY700" s="53"/>
    </row>
    <row r="701">
      <c r="AD701" s="52"/>
      <c r="AF701" s="52"/>
      <c r="AR701" s="52"/>
      <c r="AU701" s="52"/>
      <c r="AY701" s="53"/>
    </row>
    <row r="702">
      <c r="AD702" s="52"/>
      <c r="AF702" s="52"/>
      <c r="AR702" s="52"/>
      <c r="AU702" s="52"/>
      <c r="AY702" s="53"/>
    </row>
    <row r="703">
      <c r="AD703" s="52"/>
      <c r="AF703" s="52"/>
      <c r="AR703" s="52"/>
      <c r="AU703" s="52"/>
      <c r="AY703" s="53"/>
    </row>
    <row r="704">
      <c r="AD704" s="52"/>
      <c r="AF704" s="52"/>
      <c r="AR704" s="52"/>
      <c r="AU704" s="52"/>
      <c r="AY704" s="53"/>
    </row>
    <row r="705">
      <c r="AD705" s="52"/>
      <c r="AF705" s="52"/>
      <c r="AR705" s="52"/>
      <c r="AU705" s="52"/>
      <c r="AY705" s="53"/>
    </row>
    <row r="706">
      <c r="AD706" s="52"/>
      <c r="AF706" s="52"/>
      <c r="AR706" s="52"/>
      <c r="AU706" s="52"/>
      <c r="AY706" s="53"/>
    </row>
    <row r="707">
      <c r="AD707" s="52"/>
      <c r="AF707" s="52"/>
      <c r="AR707" s="52"/>
      <c r="AU707" s="52"/>
      <c r="AY707" s="53"/>
    </row>
    <row r="708">
      <c r="AD708" s="52"/>
      <c r="AF708" s="52"/>
      <c r="AR708" s="52"/>
      <c r="AU708" s="52"/>
      <c r="AY708" s="53"/>
    </row>
    <row r="709">
      <c r="AD709" s="52"/>
      <c r="AF709" s="52"/>
      <c r="AR709" s="52"/>
      <c r="AU709" s="52"/>
      <c r="AY709" s="53"/>
    </row>
    <row r="710">
      <c r="AD710" s="52"/>
      <c r="AF710" s="52"/>
      <c r="AR710" s="52"/>
      <c r="AU710" s="52"/>
      <c r="AY710" s="53"/>
    </row>
    <row r="711">
      <c r="AD711" s="52"/>
      <c r="AF711" s="52"/>
      <c r="AR711" s="52"/>
      <c r="AU711" s="52"/>
      <c r="AY711" s="53"/>
    </row>
    <row r="712">
      <c r="AD712" s="52"/>
      <c r="AF712" s="52"/>
      <c r="AR712" s="52"/>
      <c r="AU712" s="52"/>
      <c r="AY712" s="53"/>
    </row>
    <row r="713">
      <c r="AD713" s="52"/>
      <c r="AF713" s="52"/>
      <c r="AR713" s="52"/>
      <c r="AU713" s="52"/>
      <c r="AY713" s="53"/>
    </row>
    <row r="714">
      <c r="AD714" s="52"/>
      <c r="AF714" s="52"/>
      <c r="AR714" s="52"/>
      <c r="AU714" s="52"/>
      <c r="AY714" s="53"/>
    </row>
    <row r="715">
      <c r="AD715" s="52"/>
      <c r="AF715" s="52"/>
      <c r="AR715" s="52"/>
      <c r="AU715" s="52"/>
      <c r="AY715" s="53"/>
    </row>
    <row r="716">
      <c r="AD716" s="52"/>
      <c r="AF716" s="52"/>
      <c r="AR716" s="52"/>
      <c r="AU716" s="52"/>
      <c r="AY716" s="53"/>
    </row>
    <row r="717">
      <c r="AD717" s="52"/>
      <c r="AF717" s="52"/>
      <c r="AR717" s="52"/>
      <c r="AU717" s="52"/>
      <c r="AY717" s="53"/>
    </row>
    <row r="718">
      <c r="AD718" s="52"/>
      <c r="AF718" s="52"/>
      <c r="AR718" s="52"/>
      <c r="AU718" s="52"/>
      <c r="AY718" s="53"/>
    </row>
    <row r="719">
      <c r="AD719" s="52"/>
      <c r="AF719" s="52"/>
      <c r="AR719" s="52"/>
      <c r="AU719" s="52"/>
      <c r="AY719" s="53"/>
    </row>
    <row r="720">
      <c r="AD720" s="52"/>
      <c r="AF720" s="52"/>
      <c r="AR720" s="52"/>
      <c r="AU720" s="52"/>
      <c r="AY720" s="53"/>
    </row>
    <row r="721">
      <c r="AD721" s="52"/>
      <c r="AF721" s="52"/>
      <c r="AR721" s="52"/>
      <c r="AU721" s="52"/>
      <c r="AY721" s="53"/>
    </row>
    <row r="722">
      <c r="AD722" s="52"/>
      <c r="AF722" s="52"/>
      <c r="AR722" s="52"/>
      <c r="AU722" s="52"/>
      <c r="AY722" s="53"/>
    </row>
    <row r="723">
      <c r="AD723" s="52"/>
      <c r="AF723" s="52"/>
      <c r="AR723" s="52"/>
      <c r="AU723" s="52"/>
      <c r="AY723" s="53"/>
    </row>
    <row r="724">
      <c r="AD724" s="52"/>
      <c r="AF724" s="52"/>
      <c r="AR724" s="52"/>
      <c r="AU724" s="52"/>
      <c r="AY724" s="53"/>
    </row>
    <row r="725">
      <c r="AD725" s="52"/>
      <c r="AF725" s="52"/>
      <c r="AR725" s="52"/>
      <c r="AU725" s="52"/>
      <c r="AY725" s="53"/>
    </row>
    <row r="726">
      <c r="AD726" s="52"/>
      <c r="AF726" s="52"/>
      <c r="AR726" s="52"/>
      <c r="AU726" s="52"/>
      <c r="AY726" s="53"/>
    </row>
    <row r="727">
      <c r="AD727" s="52"/>
      <c r="AF727" s="52"/>
      <c r="AR727" s="52"/>
      <c r="AU727" s="52"/>
      <c r="AY727" s="53"/>
    </row>
    <row r="728">
      <c r="AD728" s="52"/>
      <c r="AF728" s="52"/>
      <c r="AR728" s="52"/>
      <c r="AU728" s="52"/>
      <c r="AY728" s="53"/>
    </row>
    <row r="729">
      <c r="AD729" s="52"/>
      <c r="AF729" s="52"/>
      <c r="AR729" s="52"/>
      <c r="AU729" s="52"/>
      <c r="AY729" s="53"/>
    </row>
    <row r="730">
      <c r="AD730" s="52"/>
      <c r="AF730" s="52"/>
      <c r="AR730" s="52"/>
      <c r="AU730" s="52"/>
      <c r="AY730" s="53"/>
    </row>
    <row r="731">
      <c r="AD731" s="52"/>
      <c r="AF731" s="52"/>
      <c r="AR731" s="52"/>
      <c r="AU731" s="52"/>
      <c r="AY731" s="53"/>
    </row>
    <row r="732">
      <c r="AD732" s="52"/>
      <c r="AF732" s="52"/>
      <c r="AR732" s="52"/>
      <c r="AU732" s="52"/>
      <c r="AY732" s="53"/>
    </row>
    <row r="733">
      <c r="AD733" s="52"/>
      <c r="AF733" s="52"/>
      <c r="AR733" s="52"/>
      <c r="AU733" s="52"/>
      <c r="AY733" s="53"/>
    </row>
    <row r="734">
      <c r="AD734" s="52"/>
      <c r="AF734" s="52"/>
      <c r="AR734" s="52"/>
      <c r="AU734" s="52"/>
      <c r="AY734" s="53"/>
    </row>
    <row r="735">
      <c r="AD735" s="52"/>
      <c r="AF735" s="52"/>
      <c r="AR735" s="52"/>
      <c r="AU735" s="52"/>
      <c r="AY735" s="53"/>
    </row>
    <row r="736">
      <c r="AD736" s="52"/>
      <c r="AF736" s="52"/>
      <c r="AR736" s="52"/>
      <c r="AU736" s="52"/>
      <c r="AY736" s="53"/>
    </row>
    <row r="737">
      <c r="AD737" s="52"/>
      <c r="AF737" s="52"/>
      <c r="AR737" s="52"/>
      <c r="AU737" s="52"/>
      <c r="AY737" s="53"/>
    </row>
    <row r="738">
      <c r="AD738" s="52"/>
      <c r="AF738" s="52"/>
      <c r="AR738" s="52"/>
      <c r="AU738" s="52"/>
      <c r="AY738" s="53"/>
    </row>
    <row r="739">
      <c r="AD739" s="52"/>
      <c r="AF739" s="52"/>
      <c r="AR739" s="52"/>
      <c r="AU739" s="52"/>
      <c r="AY739" s="53"/>
    </row>
    <row r="740">
      <c r="AD740" s="52"/>
      <c r="AF740" s="52"/>
      <c r="AR740" s="52"/>
      <c r="AU740" s="52"/>
      <c r="AY740" s="53"/>
    </row>
    <row r="741">
      <c r="AD741" s="52"/>
      <c r="AF741" s="52"/>
      <c r="AR741" s="52"/>
      <c r="AU741" s="52"/>
      <c r="AY741" s="53"/>
    </row>
    <row r="742">
      <c r="AD742" s="52"/>
      <c r="AF742" s="52"/>
      <c r="AR742" s="52"/>
      <c r="AU742" s="52"/>
      <c r="AY742" s="53"/>
    </row>
    <row r="743">
      <c r="AD743" s="52"/>
      <c r="AF743" s="52"/>
      <c r="AR743" s="52"/>
      <c r="AU743" s="52"/>
      <c r="AY743" s="53"/>
    </row>
    <row r="744">
      <c r="AD744" s="52"/>
      <c r="AF744" s="52"/>
      <c r="AR744" s="52"/>
      <c r="AU744" s="52"/>
      <c r="AY744" s="53"/>
    </row>
    <row r="745">
      <c r="AD745" s="52"/>
      <c r="AF745" s="52"/>
      <c r="AR745" s="52"/>
      <c r="AU745" s="52"/>
      <c r="AY745" s="53"/>
    </row>
    <row r="746">
      <c r="AD746" s="52"/>
      <c r="AF746" s="52"/>
      <c r="AR746" s="52"/>
      <c r="AU746" s="52"/>
      <c r="AY746" s="53"/>
    </row>
    <row r="747">
      <c r="AD747" s="52"/>
      <c r="AF747" s="52"/>
      <c r="AR747" s="52"/>
      <c r="AU747" s="52"/>
      <c r="AY747" s="53"/>
    </row>
    <row r="748">
      <c r="AD748" s="52"/>
      <c r="AF748" s="52"/>
      <c r="AR748" s="52"/>
      <c r="AU748" s="52"/>
      <c r="AY748" s="53"/>
    </row>
    <row r="749">
      <c r="AD749" s="52"/>
      <c r="AF749" s="52"/>
      <c r="AR749" s="52"/>
      <c r="AU749" s="52"/>
      <c r="AY749" s="53"/>
    </row>
    <row r="750">
      <c r="AD750" s="52"/>
      <c r="AF750" s="52"/>
      <c r="AR750" s="52"/>
      <c r="AU750" s="52"/>
      <c r="AY750" s="53"/>
    </row>
    <row r="751">
      <c r="AD751" s="52"/>
      <c r="AF751" s="52"/>
      <c r="AR751" s="52"/>
      <c r="AU751" s="52"/>
      <c r="AY751" s="53"/>
    </row>
    <row r="752">
      <c r="AD752" s="52"/>
      <c r="AF752" s="52"/>
      <c r="AR752" s="52"/>
      <c r="AU752" s="52"/>
      <c r="AY752" s="53"/>
    </row>
    <row r="753">
      <c r="AD753" s="52"/>
      <c r="AF753" s="52"/>
      <c r="AR753" s="52"/>
      <c r="AU753" s="52"/>
      <c r="AY753" s="53"/>
    </row>
    <row r="754">
      <c r="AD754" s="52"/>
      <c r="AF754" s="52"/>
      <c r="AR754" s="52"/>
      <c r="AU754" s="52"/>
      <c r="AY754" s="53"/>
    </row>
    <row r="755">
      <c r="AD755" s="52"/>
      <c r="AF755" s="52"/>
      <c r="AR755" s="52"/>
      <c r="AU755" s="52"/>
      <c r="AY755" s="53"/>
    </row>
    <row r="756">
      <c r="AD756" s="52"/>
      <c r="AF756" s="52"/>
      <c r="AR756" s="52"/>
      <c r="AU756" s="52"/>
      <c r="AY756" s="53"/>
    </row>
    <row r="757">
      <c r="AD757" s="52"/>
      <c r="AF757" s="52"/>
      <c r="AR757" s="52"/>
      <c r="AU757" s="52"/>
      <c r="AY757" s="53"/>
    </row>
    <row r="758">
      <c r="AD758" s="52"/>
      <c r="AF758" s="52"/>
      <c r="AR758" s="52"/>
      <c r="AU758" s="52"/>
      <c r="AY758" s="53"/>
    </row>
    <row r="759">
      <c r="AD759" s="52"/>
      <c r="AF759" s="52"/>
      <c r="AR759" s="52"/>
      <c r="AU759" s="52"/>
      <c r="AY759" s="53"/>
    </row>
    <row r="760">
      <c r="AD760" s="52"/>
      <c r="AF760" s="52"/>
      <c r="AR760" s="52"/>
      <c r="AU760" s="52"/>
      <c r="AY760" s="53"/>
    </row>
    <row r="761">
      <c r="AD761" s="52"/>
      <c r="AF761" s="52"/>
      <c r="AR761" s="52"/>
      <c r="AU761" s="52"/>
      <c r="AY761" s="53"/>
    </row>
    <row r="762">
      <c r="AD762" s="52"/>
      <c r="AF762" s="52"/>
      <c r="AR762" s="52"/>
      <c r="AU762" s="52"/>
      <c r="AY762" s="53"/>
    </row>
    <row r="763">
      <c r="AD763" s="52"/>
      <c r="AF763" s="52"/>
      <c r="AR763" s="52"/>
      <c r="AU763" s="52"/>
      <c r="AY763" s="53"/>
    </row>
    <row r="764">
      <c r="AD764" s="52"/>
      <c r="AF764" s="52"/>
      <c r="AR764" s="52"/>
      <c r="AU764" s="52"/>
      <c r="AY764" s="53"/>
    </row>
    <row r="765">
      <c r="AD765" s="52"/>
      <c r="AF765" s="52"/>
      <c r="AR765" s="52"/>
      <c r="AU765" s="52"/>
      <c r="AY765" s="53"/>
    </row>
    <row r="766">
      <c r="AD766" s="52"/>
      <c r="AF766" s="52"/>
      <c r="AR766" s="52"/>
      <c r="AU766" s="52"/>
      <c r="AY766" s="53"/>
    </row>
    <row r="767">
      <c r="AD767" s="52"/>
      <c r="AF767" s="52"/>
      <c r="AR767" s="52"/>
      <c r="AU767" s="52"/>
      <c r="AY767" s="53"/>
    </row>
    <row r="768">
      <c r="AD768" s="52"/>
      <c r="AF768" s="52"/>
      <c r="AR768" s="52"/>
      <c r="AU768" s="52"/>
      <c r="AY768" s="53"/>
    </row>
    <row r="769">
      <c r="AD769" s="52"/>
      <c r="AF769" s="52"/>
      <c r="AR769" s="52"/>
      <c r="AU769" s="52"/>
      <c r="AY769" s="53"/>
    </row>
    <row r="770">
      <c r="AD770" s="52"/>
      <c r="AF770" s="52"/>
      <c r="AR770" s="52"/>
      <c r="AU770" s="52"/>
      <c r="AY770" s="53"/>
    </row>
    <row r="771">
      <c r="AD771" s="52"/>
      <c r="AF771" s="52"/>
      <c r="AR771" s="52"/>
      <c r="AU771" s="52"/>
      <c r="AY771" s="53"/>
    </row>
    <row r="772">
      <c r="AD772" s="52"/>
      <c r="AF772" s="52"/>
      <c r="AR772" s="52"/>
      <c r="AU772" s="52"/>
      <c r="AY772" s="53"/>
    </row>
    <row r="773">
      <c r="AD773" s="52"/>
      <c r="AF773" s="52"/>
      <c r="AR773" s="52"/>
      <c r="AU773" s="52"/>
      <c r="AY773" s="53"/>
    </row>
    <row r="774">
      <c r="AD774" s="52"/>
      <c r="AF774" s="52"/>
      <c r="AR774" s="52"/>
      <c r="AU774" s="52"/>
      <c r="AY774" s="53"/>
    </row>
    <row r="775">
      <c r="AD775" s="52"/>
      <c r="AF775" s="52"/>
      <c r="AR775" s="52"/>
      <c r="AU775" s="52"/>
      <c r="AY775" s="53"/>
    </row>
    <row r="776">
      <c r="AD776" s="52"/>
      <c r="AF776" s="52"/>
      <c r="AR776" s="52"/>
      <c r="AU776" s="52"/>
      <c r="AY776" s="53"/>
    </row>
    <row r="777">
      <c r="AD777" s="52"/>
      <c r="AF777" s="52"/>
      <c r="AR777" s="52"/>
      <c r="AU777" s="52"/>
      <c r="AY777" s="53"/>
    </row>
    <row r="778">
      <c r="AD778" s="52"/>
      <c r="AF778" s="52"/>
      <c r="AR778" s="52"/>
      <c r="AU778" s="52"/>
      <c r="AY778" s="53"/>
    </row>
    <row r="779">
      <c r="AD779" s="52"/>
      <c r="AF779" s="52"/>
      <c r="AR779" s="52"/>
      <c r="AU779" s="52"/>
      <c r="AY779" s="53"/>
    </row>
    <row r="780">
      <c r="AD780" s="52"/>
      <c r="AF780" s="52"/>
      <c r="AR780" s="52"/>
      <c r="AU780" s="52"/>
      <c r="AY780" s="53"/>
    </row>
    <row r="781">
      <c r="AD781" s="52"/>
      <c r="AF781" s="52"/>
      <c r="AR781" s="52"/>
      <c r="AU781" s="52"/>
      <c r="AY781" s="53"/>
    </row>
    <row r="782">
      <c r="AD782" s="52"/>
      <c r="AF782" s="52"/>
      <c r="AR782" s="52"/>
      <c r="AU782" s="52"/>
      <c r="AY782" s="53"/>
    </row>
    <row r="783">
      <c r="AD783" s="52"/>
      <c r="AF783" s="52"/>
      <c r="AR783" s="52"/>
      <c r="AU783" s="52"/>
      <c r="AY783" s="53"/>
    </row>
    <row r="784">
      <c r="AD784" s="52"/>
      <c r="AF784" s="52"/>
      <c r="AR784" s="52"/>
      <c r="AU784" s="52"/>
      <c r="AY784" s="53"/>
    </row>
    <row r="785">
      <c r="AD785" s="52"/>
      <c r="AF785" s="52"/>
      <c r="AR785" s="52"/>
      <c r="AU785" s="52"/>
      <c r="AY785" s="53"/>
    </row>
    <row r="786">
      <c r="AD786" s="52"/>
      <c r="AF786" s="52"/>
      <c r="AR786" s="52"/>
      <c r="AU786" s="52"/>
      <c r="AY786" s="53"/>
    </row>
    <row r="787">
      <c r="AD787" s="52"/>
      <c r="AF787" s="52"/>
      <c r="AR787" s="52"/>
      <c r="AU787" s="52"/>
      <c r="AY787" s="53"/>
    </row>
    <row r="788">
      <c r="AD788" s="52"/>
      <c r="AF788" s="52"/>
      <c r="AR788" s="52"/>
      <c r="AU788" s="52"/>
      <c r="AY788" s="53"/>
    </row>
    <row r="789">
      <c r="AD789" s="52"/>
      <c r="AF789" s="52"/>
      <c r="AR789" s="52"/>
      <c r="AU789" s="52"/>
      <c r="AY789" s="53"/>
    </row>
    <row r="790">
      <c r="AD790" s="52"/>
      <c r="AF790" s="52"/>
      <c r="AR790" s="52"/>
      <c r="AU790" s="52"/>
      <c r="AY790" s="53"/>
    </row>
    <row r="791">
      <c r="AD791" s="52"/>
      <c r="AF791" s="52"/>
      <c r="AR791" s="52"/>
      <c r="AU791" s="52"/>
      <c r="AY791" s="53"/>
    </row>
    <row r="792">
      <c r="AD792" s="52"/>
      <c r="AF792" s="52"/>
      <c r="AR792" s="52"/>
      <c r="AU792" s="52"/>
      <c r="AY792" s="53"/>
    </row>
    <row r="793">
      <c r="AD793" s="52"/>
      <c r="AF793" s="52"/>
      <c r="AR793" s="52"/>
      <c r="AU793" s="52"/>
      <c r="AY793" s="53"/>
    </row>
    <row r="794">
      <c r="AD794" s="52"/>
      <c r="AF794" s="52"/>
      <c r="AR794" s="52"/>
      <c r="AU794" s="52"/>
      <c r="AY794" s="53"/>
    </row>
    <row r="795">
      <c r="AD795" s="52"/>
      <c r="AF795" s="52"/>
      <c r="AR795" s="52"/>
      <c r="AU795" s="52"/>
      <c r="AY795" s="53"/>
    </row>
    <row r="796">
      <c r="AD796" s="52"/>
      <c r="AF796" s="52"/>
      <c r="AR796" s="52"/>
      <c r="AU796" s="52"/>
      <c r="AY796" s="53"/>
    </row>
    <row r="797">
      <c r="AD797" s="52"/>
      <c r="AF797" s="52"/>
      <c r="AR797" s="52"/>
      <c r="AU797" s="52"/>
      <c r="AY797" s="53"/>
    </row>
    <row r="798">
      <c r="AD798" s="52"/>
      <c r="AF798" s="52"/>
      <c r="AR798" s="52"/>
      <c r="AU798" s="52"/>
      <c r="AY798" s="53"/>
    </row>
    <row r="799">
      <c r="AD799" s="52"/>
      <c r="AF799" s="52"/>
      <c r="AR799" s="52"/>
      <c r="AU799" s="52"/>
      <c r="AY799" s="53"/>
    </row>
    <row r="800">
      <c r="AD800" s="52"/>
      <c r="AF800" s="52"/>
      <c r="AR800" s="52"/>
      <c r="AU800" s="52"/>
      <c r="AY800" s="53"/>
    </row>
    <row r="801">
      <c r="AD801" s="52"/>
      <c r="AF801" s="52"/>
      <c r="AR801" s="52"/>
      <c r="AU801" s="52"/>
      <c r="AY801" s="53"/>
    </row>
    <row r="802">
      <c r="AD802" s="52"/>
      <c r="AF802" s="52"/>
      <c r="AR802" s="52"/>
      <c r="AU802" s="52"/>
      <c r="AY802" s="53"/>
    </row>
    <row r="803">
      <c r="AD803" s="52"/>
      <c r="AF803" s="52"/>
      <c r="AR803" s="52"/>
      <c r="AU803" s="52"/>
      <c r="AY803" s="53"/>
    </row>
    <row r="804">
      <c r="AD804" s="52"/>
      <c r="AF804" s="52"/>
      <c r="AR804" s="52"/>
      <c r="AU804" s="52"/>
      <c r="AY804" s="53"/>
    </row>
    <row r="805">
      <c r="AD805" s="52"/>
      <c r="AF805" s="52"/>
      <c r="AR805" s="52"/>
      <c r="AU805" s="52"/>
      <c r="AY805" s="53"/>
    </row>
    <row r="806">
      <c r="AD806" s="52"/>
      <c r="AF806" s="52"/>
      <c r="AR806" s="52"/>
      <c r="AU806" s="52"/>
      <c r="AY806" s="53"/>
    </row>
    <row r="807">
      <c r="AD807" s="52"/>
      <c r="AF807" s="52"/>
      <c r="AR807" s="52"/>
      <c r="AU807" s="52"/>
      <c r="AY807" s="53"/>
    </row>
    <row r="808">
      <c r="AD808" s="52"/>
      <c r="AF808" s="52"/>
      <c r="AR808" s="52"/>
      <c r="AU808" s="52"/>
      <c r="AY808" s="53"/>
    </row>
    <row r="809">
      <c r="AD809" s="52"/>
      <c r="AF809" s="52"/>
      <c r="AR809" s="52"/>
      <c r="AU809" s="52"/>
      <c r="AY809" s="53"/>
    </row>
    <row r="810">
      <c r="AD810" s="52"/>
      <c r="AF810" s="52"/>
      <c r="AR810" s="52"/>
      <c r="AU810" s="52"/>
      <c r="AY810" s="53"/>
    </row>
    <row r="811">
      <c r="AD811" s="52"/>
      <c r="AF811" s="52"/>
      <c r="AR811" s="52"/>
      <c r="AU811" s="52"/>
      <c r="AY811" s="53"/>
    </row>
    <row r="812">
      <c r="AD812" s="52"/>
      <c r="AF812" s="52"/>
      <c r="AR812" s="52"/>
      <c r="AU812" s="52"/>
      <c r="AY812" s="53"/>
    </row>
    <row r="813">
      <c r="AD813" s="52"/>
      <c r="AF813" s="52"/>
      <c r="AR813" s="52"/>
      <c r="AU813" s="52"/>
      <c r="AY813" s="53"/>
    </row>
    <row r="814">
      <c r="AD814" s="52"/>
      <c r="AF814" s="52"/>
      <c r="AR814" s="52"/>
      <c r="AU814" s="52"/>
      <c r="AY814" s="53"/>
    </row>
    <row r="815">
      <c r="AD815" s="52"/>
      <c r="AF815" s="52"/>
      <c r="AR815" s="52"/>
      <c r="AU815" s="52"/>
      <c r="AY815" s="53"/>
    </row>
    <row r="816">
      <c r="AD816" s="52"/>
      <c r="AF816" s="52"/>
      <c r="AR816" s="52"/>
      <c r="AU816" s="52"/>
      <c r="AY816" s="53"/>
    </row>
    <row r="817">
      <c r="AD817" s="52"/>
      <c r="AF817" s="52"/>
      <c r="AR817" s="52"/>
      <c r="AU817" s="52"/>
      <c r="AY817" s="53"/>
    </row>
    <row r="818">
      <c r="AD818" s="52"/>
      <c r="AF818" s="52"/>
      <c r="AR818" s="52"/>
      <c r="AU818" s="52"/>
      <c r="AY818" s="53"/>
    </row>
    <row r="819">
      <c r="AD819" s="52"/>
      <c r="AF819" s="52"/>
      <c r="AR819" s="52"/>
      <c r="AU819" s="52"/>
      <c r="AY819" s="53"/>
    </row>
    <row r="820">
      <c r="AD820" s="52"/>
      <c r="AF820" s="52"/>
      <c r="AR820" s="52"/>
      <c r="AU820" s="52"/>
      <c r="AY820" s="53"/>
    </row>
    <row r="821">
      <c r="AD821" s="52"/>
      <c r="AF821" s="52"/>
      <c r="AR821" s="52"/>
      <c r="AU821" s="52"/>
      <c r="AY821" s="53"/>
    </row>
    <row r="822">
      <c r="AD822" s="52"/>
      <c r="AF822" s="52"/>
      <c r="AR822" s="52"/>
      <c r="AU822" s="52"/>
      <c r="AY822" s="53"/>
    </row>
    <row r="823">
      <c r="AD823" s="52"/>
      <c r="AF823" s="52"/>
      <c r="AR823" s="52"/>
      <c r="AU823" s="52"/>
      <c r="AY823" s="53"/>
    </row>
    <row r="824">
      <c r="AD824" s="52"/>
      <c r="AF824" s="52"/>
      <c r="AR824" s="52"/>
      <c r="AU824" s="52"/>
      <c r="AY824" s="53"/>
    </row>
    <row r="825">
      <c r="AD825" s="52"/>
      <c r="AF825" s="52"/>
      <c r="AR825" s="52"/>
      <c r="AU825" s="52"/>
      <c r="AY825" s="53"/>
    </row>
    <row r="826">
      <c r="AD826" s="52"/>
      <c r="AF826" s="52"/>
      <c r="AR826" s="52"/>
      <c r="AU826" s="52"/>
      <c r="AY826" s="53"/>
    </row>
    <row r="827">
      <c r="AD827" s="52"/>
      <c r="AF827" s="52"/>
      <c r="AR827" s="52"/>
      <c r="AU827" s="52"/>
      <c r="AY827" s="53"/>
    </row>
    <row r="828">
      <c r="AD828" s="52"/>
      <c r="AF828" s="52"/>
      <c r="AR828" s="52"/>
      <c r="AU828" s="52"/>
      <c r="AY828" s="53"/>
    </row>
    <row r="829">
      <c r="AD829" s="52"/>
      <c r="AF829" s="52"/>
      <c r="AR829" s="52"/>
      <c r="AU829" s="52"/>
      <c r="AY829" s="53"/>
    </row>
    <row r="830">
      <c r="AD830" s="52"/>
      <c r="AF830" s="52"/>
      <c r="AR830" s="52"/>
      <c r="AU830" s="52"/>
      <c r="AY830" s="53"/>
    </row>
    <row r="831">
      <c r="AD831" s="52"/>
      <c r="AF831" s="52"/>
      <c r="AR831" s="52"/>
      <c r="AU831" s="52"/>
      <c r="AY831" s="53"/>
    </row>
    <row r="832">
      <c r="AD832" s="52"/>
      <c r="AF832" s="52"/>
      <c r="AR832" s="52"/>
      <c r="AU832" s="52"/>
      <c r="AY832" s="53"/>
    </row>
    <row r="833">
      <c r="AD833" s="52"/>
      <c r="AF833" s="52"/>
      <c r="AR833" s="52"/>
      <c r="AU833" s="52"/>
      <c r="AY833" s="53"/>
    </row>
    <row r="834">
      <c r="AD834" s="52"/>
      <c r="AF834" s="52"/>
      <c r="AR834" s="52"/>
      <c r="AU834" s="52"/>
      <c r="AY834" s="53"/>
    </row>
    <row r="835">
      <c r="AD835" s="52"/>
      <c r="AF835" s="52"/>
      <c r="AR835" s="52"/>
      <c r="AU835" s="52"/>
      <c r="AY835" s="53"/>
    </row>
    <row r="836">
      <c r="AD836" s="52"/>
      <c r="AF836" s="52"/>
      <c r="AR836" s="52"/>
      <c r="AU836" s="52"/>
      <c r="AY836" s="53"/>
    </row>
    <row r="837">
      <c r="AD837" s="52"/>
      <c r="AF837" s="52"/>
      <c r="AR837" s="52"/>
      <c r="AU837" s="52"/>
      <c r="AY837" s="53"/>
    </row>
    <row r="838">
      <c r="AD838" s="52"/>
      <c r="AF838" s="52"/>
      <c r="AR838" s="52"/>
      <c r="AU838" s="52"/>
      <c r="AY838" s="53"/>
    </row>
    <row r="839">
      <c r="AD839" s="52"/>
      <c r="AF839" s="52"/>
      <c r="AR839" s="52"/>
      <c r="AU839" s="52"/>
      <c r="AY839" s="53"/>
    </row>
    <row r="840">
      <c r="AD840" s="52"/>
      <c r="AF840" s="52"/>
      <c r="AR840" s="52"/>
      <c r="AU840" s="52"/>
      <c r="AY840" s="53"/>
    </row>
    <row r="841">
      <c r="AD841" s="52"/>
      <c r="AF841" s="52"/>
      <c r="AR841" s="52"/>
      <c r="AU841" s="52"/>
      <c r="AY841" s="53"/>
    </row>
    <row r="842">
      <c r="AD842" s="52"/>
      <c r="AF842" s="52"/>
      <c r="AR842" s="52"/>
      <c r="AU842" s="52"/>
      <c r="AY842" s="53"/>
    </row>
    <row r="843">
      <c r="AD843" s="52"/>
      <c r="AF843" s="52"/>
      <c r="AR843" s="52"/>
      <c r="AU843" s="52"/>
      <c r="AY843" s="53"/>
    </row>
    <row r="844">
      <c r="AD844" s="52"/>
      <c r="AF844" s="52"/>
      <c r="AR844" s="52"/>
      <c r="AU844" s="52"/>
      <c r="AY844" s="53"/>
    </row>
    <row r="845">
      <c r="AD845" s="52"/>
      <c r="AF845" s="52"/>
      <c r="AR845" s="52"/>
      <c r="AU845" s="52"/>
      <c r="AY845" s="53"/>
    </row>
    <row r="846">
      <c r="AD846" s="52"/>
      <c r="AF846" s="52"/>
      <c r="AR846" s="52"/>
      <c r="AU846" s="52"/>
      <c r="AY846" s="53"/>
    </row>
    <row r="847">
      <c r="AD847" s="52"/>
      <c r="AF847" s="52"/>
      <c r="AR847" s="52"/>
      <c r="AU847" s="52"/>
      <c r="AY847" s="53"/>
    </row>
    <row r="848">
      <c r="AD848" s="52"/>
      <c r="AF848" s="52"/>
      <c r="AR848" s="52"/>
      <c r="AU848" s="52"/>
      <c r="AY848" s="53"/>
    </row>
    <row r="849">
      <c r="AD849" s="52"/>
      <c r="AF849" s="52"/>
      <c r="AR849" s="52"/>
      <c r="AU849" s="52"/>
      <c r="AY849" s="53"/>
    </row>
    <row r="850">
      <c r="AD850" s="52"/>
      <c r="AF850" s="52"/>
      <c r="AR850" s="52"/>
      <c r="AU850" s="52"/>
      <c r="AY850" s="53"/>
    </row>
    <row r="851">
      <c r="AD851" s="52"/>
      <c r="AF851" s="52"/>
      <c r="AR851" s="52"/>
      <c r="AU851" s="52"/>
      <c r="AY851" s="53"/>
    </row>
    <row r="852">
      <c r="AD852" s="52"/>
      <c r="AF852" s="52"/>
      <c r="AR852" s="52"/>
      <c r="AU852" s="52"/>
      <c r="AY852" s="53"/>
    </row>
    <row r="853">
      <c r="AD853" s="52"/>
      <c r="AF853" s="52"/>
      <c r="AR853" s="52"/>
      <c r="AU853" s="52"/>
      <c r="AY853" s="53"/>
    </row>
    <row r="854">
      <c r="AD854" s="52"/>
      <c r="AF854" s="52"/>
      <c r="AR854" s="52"/>
      <c r="AU854" s="52"/>
      <c r="AY854" s="53"/>
    </row>
    <row r="855">
      <c r="AD855" s="52"/>
      <c r="AF855" s="52"/>
      <c r="AR855" s="52"/>
      <c r="AU855" s="52"/>
      <c r="AY855" s="53"/>
    </row>
    <row r="856">
      <c r="AD856" s="52"/>
      <c r="AF856" s="52"/>
      <c r="AR856" s="52"/>
      <c r="AU856" s="52"/>
      <c r="AY856" s="53"/>
    </row>
    <row r="857">
      <c r="AD857" s="52"/>
      <c r="AF857" s="52"/>
      <c r="AR857" s="52"/>
      <c r="AU857" s="52"/>
      <c r="AY857" s="53"/>
    </row>
    <row r="858">
      <c r="AD858" s="52"/>
      <c r="AF858" s="52"/>
      <c r="AR858" s="52"/>
      <c r="AU858" s="52"/>
      <c r="AY858" s="53"/>
    </row>
    <row r="859">
      <c r="AD859" s="52"/>
      <c r="AF859" s="52"/>
      <c r="AR859" s="52"/>
      <c r="AU859" s="52"/>
      <c r="AY859" s="53"/>
    </row>
    <row r="860">
      <c r="AD860" s="52"/>
      <c r="AF860" s="52"/>
      <c r="AR860" s="52"/>
      <c r="AU860" s="52"/>
      <c r="AY860" s="53"/>
    </row>
    <row r="861">
      <c r="AD861" s="52"/>
      <c r="AF861" s="52"/>
      <c r="AR861" s="52"/>
      <c r="AU861" s="52"/>
      <c r="AY861" s="53"/>
    </row>
    <row r="862">
      <c r="AD862" s="52"/>
      <c r="AF862" s="52"/>
      <c r="AR862" s="52"/>
      <c r="AU862" s="52"/>
      <c r="AY862" s="53"/>
    </row>
    <row r="863">
      <c r="AD863" s="52"/>
      <c r="AF863" s="52"/>
      <c r="AR863" s="52"/>
      <c r="AU863" s="52"/>
      <c r="AY863" s="53"/>
    </row>
    <row r="864">
      <c r="AD864" s="52"/>
      <c r="AF864" s="52"/>
      <c r="AR864" s="52"/>
      <c r="AU864" s="52"/>
      <c r="AY864" s="53"/>
    </row>
    <row r="865">
      <c r="AD865" s="52"/>
      <c r="AF865" s="52"/>
      <c r="AR865" s="52"/>
      <c r="AU865" s="52"/>
      <c r="AY865" s="53"/>
    </row>
    <row r="866">
      <c r="AD866" s="52"/>
      <c r="AF866" s="52"/>
      <c r="AR866" s="52"/>
      <c r="AU866" s="52"/>
      <c r="AY866" s="53"/>
    </row>
    <row r="867">
      <c r="AD867" s="52"/>
      <c r="AF867" s="52"/>
      <c r="AR867" s="52"/>
      <c r="AU867" s="52"/>
      <c r="AY867" s="53"/>
    </row>
    <row r="868">
      <c r="AD868" s="52"/>
      <c r="AF868" s="52"/>
      <c r="AR868" s="52"/>
      <c r="AU868" s="52"/>
      <c r="AY868" s="53"/>
    </row>
    <row r="869">
      <c r="AD869" s="52"/>
      <c r="AF869" s="52"/>
      <c r="AR869" s="52"/>
      <c r="AU869" s="52"/>
      <c r="AY869" s="53"/>
    </row>
    <row r="870">
      <c r="AD870" s="52"/>
      <c r="AF870" s="52"/>
      <c r="AR870" s="52"/>
      <c r="AU870" s="52"/>
      <c r="AY870" s="53"/>
    </row>
    <row r="871">
      <c r="AD871" s="52"/>
      <c r="AF871" s="52"/>
      <c r="AR871" s="52"/>
      <c r="AU871" s="52"/>
      <c r="AY871" s="53"/>
    </row>
    <row r="872">
      <c r="AD872" s="52"/>
      <c r="AF872" s="52"/>
      <c r="AR872" s="52"/>
      <c r="AU872" s="52"/>
      <c r="AY872" s="53"/>
    </row>
    <row r="873">
      <c r="AD873" s="52"/>
      <c r="AF873" s="52"/>
      <c r="AR873" s="52"/>
      <c r="AU873" s="52"/>
      <c r="AY873" s="53"/>
    </row>
    <row r="874">
      <c r="AD874" s="52"/>
      <c r="AF874" s="52"/>
      <c r="AR874" s="52"/>
      <c r="AU874" s="52"/>
      <c r="AY874" s="53"/>
    </row>
    <row r="875">
      <c r="AD875" s="52"/>
      <c r="AF875" s="52"/>
      <c r="AR875" s="52"/>
      <c r="AU875" s="52"/>
      <c r="AY875" s="53"/>
    </row>
    <row r="876">
      <c r="AD876" s="52"/>
      <c r="AF876" s="52"/>
      <c r="AR876" s="52"/>
      <c r="AU876" s="52"/>
      <c r="AY876" s="53"/>
    </row>
    <row r="877">
      <c r="AD877" s="52"/>
      <c r="AF877" s="52"/>
      <c r="AR877" s="52"/>
      <c r="AU877" s="52"/>
      <c r="AY877" s="53"/>
    </row>
    <row r="878">
      <c r="AD878" s="52"/>
      <c r="AF878" s="52"/>
      <c r="AR878" s="52"/>
      <c r="AU878" s="52"/>
      <c r="AY878" s="53"/>
    </row>
    <row r="879">
      <c r="AD879" s="52"/>
      <c r="AF879" s="52"/>
      <c r="AR879" s="52"/>
      <c r="AU879" s="52"/>
      <c r="AY879" s="53"/>
    </row>
    <row r="880">
      <c r="AD880" s="52"/>
      <c r="AF880" s="52"/>
      <c r="AR880" s="52"/>
      <c r="AU880" s="52"/>
      <c r="AY880" s="53"/>
    </row>
    <row r="881">
      <c r="AD881" s="52"/>
      <c r="AF881" s="52"/>
      <c r="AR881" s="52"/>
      <c r="AU881" s="52"/>
      <c r="AY881" s="53"/>
    </row>
    <row r="882">
      <c r="AD882" s="52"/>
      <c r="AF882" s="52"/>
      <c r="AR882" s="52"/>
      <c r="AU882" s="52"/>
      <c r="AY882" s="53"/>
    </row>
    <row r="883">
      <c r="AD883" s="52"/>
      <c r="AF883" s="52"/>
      <c r="AR883" s="52"/>
      <c r="AU883" s="52"/>
      <c r="AY883" s="53"/>
    </row>
    <row r="884">
      <c r="AD884" s="52"/>
      <c r="AF884" s="52"/>
      <c r="AR884" s="52"/>
      <c r="AU884" s="52"/>
      <c r="AY884" s="53"/>
    </row>
    <row r="885">
      <c r="AD885" s="52"/>
      <c r="AF885" s="52"/>
      <c r="AR885" s="52"/>
      <c r="AU885" s="52"/>
      <c r="AY885" s="53"/>
    </row>
    <row r="886">
      <c r="AD886" s="52"/>
      <c r="AF886" s="52"/>
      <c r="AR886" s="52"/>
      <c r="AU886" s="52"/>
      <c r="AY886" s="53"/>
    </row>
    <row r="887">
      <c r="AD887" s="52"/>
      <c r="AF887" s="52"/>
      <c r="AR887" s="52"/>
      <c r="AU887" s="52"/>
      <c r="AY887" s="53"/>
    </row>
    <row r="888">
      <c r="AD888" s="52"/>
      <c r="AF888" s="52"/>
      <c r="AR888" s="52"/>
      <c r="AU888" s="52"/>
      <c r="AY888" s="53"/>
    </row>
    <row r="889">
      <c r="AD889" s="52"/>
      <c r="AF889" s="52"/>
      <c r="AR889" s="52"/>
      <c r="AU889" s="52"/>
      <c r="AY889" s="53"/>
    </row>
    <row r="890">
      <c r="AD890" s="52"/>
      <c r="AF890" s="52"/>
      <c r="AR890" s="52"/>
      <c r="AU890" s="52"/>
      <c r="AY890" s="53"/>
    </row>
    <row r="891">
      <c r="AD891" s="52"/>
      <c r="AF891" s="52"/>
      <c r="AR891" s="52"/>
      <c r="AU891" s="52"/>
      <c r="AY891" s="53"/>
    </row>
    <row r="892">
      <c r="AD892" s="52"/>
      <c r="AF892" s="52"/>
      <c r="AR892" s="52"/>
      <c r="AU892" s="52"/>
      <c r="AY892" s="53"/>
    </row>
    <row r="893">
      <c r="AD893" s="52"/>
      <c r="AF893" s="52"/>
      <c r="AR893" s="52"/>
      <c r="AU893" s="52"/>
      <c r="AY893" s="53"/>
    </row>
    <row r="894">
      <c r="AD894" s="52"/>
      <c r="AF894" s="52"/>
      <c r="AR894" s="52"/>
      <c r="AU894" s="52"/>
      <c r="AY894" s="53"/>
    </row>
    <row r="895">
      <c r="AD895" s="52"/>
      <c r="AF895" s="52"/>
      <c r="AR895" s="52"/>
      <c r="AU895" s="52"/>
      <c r="AY895" s="53"/>
    </row>
    <row r="896">
      <c r="AD896" s="52"/>
      <c r="AF896" s="52"/>
      <c r="AR896" s="52"/>
      <c r="AU896" s="52"/>
      <c r="AY896" s="53"/>
    </row>
    <row r="897">
      <c r="AD897" s="52"/>
      <c r="AF897" s="52"/>
      <c r="AR897" s="52"/>
      <c r="AU897" s="52"/>
      <c r="AY897" s="53"/>
    </row>
    <row r="898">
      <c r="AD898" s="52"/>
      <c r="AF898" s="52"/>
      <c r="AR898" s="52"/>
      <c r="AU898" s="52"/>
      <c r="AY898" s="53"/>
    </row>
    <row r="899">
      <c r="AD899" s="52"/>
      <c r="AF899" s="52"/>
      <c r="AR899" s="52"/>
      <c r="AU899" s="52"/>
      <c r="AY899" s="53"/>
    </row>
    <row r="900">
      <c r="AD900" s="52"/>
      <c r="AF900" s="52"/>
      <c r="AR900" s="52"/>
      <c r="AU900" s="52"/>
      <c r="AY900" s="53"/>
    </row>
    <row r="901">
      <c r="AD901" s="52"/>
      <c r="AF901" s="52"/>
      <c r="AR901" s="52"/>
      <c r="AU901" s="52"/>
      <c r="AY901" s="53"/>
    </row>
    <row r="902">
      <c r="AD902" s="52"/>
      <c r="AF902" s="52"/>
      <c r="AR902" s="52"/>
      <c r="AU902" s="52"/>
      <c r="AY902" s="53"/>
    </row>
    <row r="903">
      <c r="AD903" s="52"/>
      <c r="AF903" s="52"/>
      <c r="AR903" s="52"/>
      <c r="AU903" s="52"/>
      <c r="AY903" s="53"/>
    </row>
    <row r="904">
      <c r="AD904" s="52"/>
      <c r="AF904" s="52"/>
      <c r="AR904" s="52"/>
      <c r="AU904" s="52"/>
      <c r="AY904" s="53"/>
    </row>
    <row r="905">
      <c r="AD905" s="52"/>
      <c r="AF905" s="52"/>
      <c r="AR905" s="52"/>
      <c r="AU905" s="52"/>
      <c r="AY905" s="53"/>
    </row>
    <row r="906">
      <c r="AD906" s="52"/>
      <c r="AF906" s="52"/>
      <c r="AR906" s="52"/>
      <c r="AU906" s="52"/>
      <c r="AY906" s="53"/>
    </row>
    <row r="907">
      <c r="AD907" s="52"/>
      <c r="AF907" s="52"/>
      <c r="AR907" s="52"/>
      <c r="AU907" s="52"/>
      <c r="AY907" s="53"/>
    </row>
    <row r="908">
      <c r="AD908" s="52"/>
      <c r="AF908" s="52"/>
      <c r="AR908" s="52"/>
      <c r="AU908" s="52"/>
      <c r="AY908" s="53"/>
    </row>
    <row r="909">
      <c r="AD909" s="52"/>
      <c r="AF909" s="52"/>
      <c r="AR909" s="52"/>
      <c r="AU909" s="52"/>
      <c r="AY909" s="53"/>
    </row>
    <row r="910">
      <c r="AD910" s="52"/>
      <c r="AF910" s="52"/>
      <c r="AR910" s="52"/>
      <c r="AU910" s="52"/>
      <c r="AY910" s="53"/>
    </row>
    <row r="911">
      <c r="AD911" s="52"/>
      <c r="AF911" s="52"/>
      <c r="AR911" s="52"/>
      <c r="AU911" s="52"/>
      <c r="AY911" s="53"/>
    </row>
    <row r="912">
      <c r="AD912" s="52"/>
      <c r="AF912" s="52"/>
      <c r="AR912" s="52"/>
      <c r="AU912" s="52"/>
      <c r="AY912" s="53"/>
    </row>
    <row r="913">
      <c r="AD913" s="52"/>
      <c r="AF913" s="52"/>
      <c r="AR913" s="52"/>
      <c r="AU913" s="52"/>
      <c r="AY913" s="53"/>
    </row>
    <row r="914">
      <c r="AD914" s="52"/>
      <c r="AF914" s="52"/>
      <c r="AR914" s="52"/>
      <c r="AU914" s="52"/>
      <c r="AY914" s="53"/>
    </row>
    <row r="915">
      <c r="AD915" s="52"/>
      <c r="AF915" s="52"/>
      <c r="AR915" s="52"/>
      <c r="AU915" s="52"/>
      <c r="AY915" s="53"/>
    </row>
    <row r="916">
      <c r="AD916" s="52"/>
      <c r="AF916" s="52"/>
      <c r="AR916" s="52"/>
      <c r="AU916" s="52"/>
      <c r="AY916" s="53"/>
    </row>
    <row r="917">
      <c r="AD917" s="52"/>
      <c r="AF917" s="52"/>
      <c r="AR917" s="52"/>
      <c r="AU917" s="52"/>
      <c r="AY917" s="53"/>
    </row>
    <row r="918">
      <c r="AD918" s="52"/>
      <c r="AF918" s="52"/>
      <c r="AR918" s="52"/>
      <c r="AU918" s="52"/>
      <c r="AY918" s="53"/>
    </row>
    <row r="919">
      <c r="AD919" s="52"/>
      <c r="AF919" s="52"/>
      <c r="AR919" s="52"/>
      <c r="AU919" s="52"/>
      <c r="AY919" s="53"/>
    </row>
    <row r="920">
      <c r="AD920" s="52"/>
      <c r="AF920" s="52"/>
      <c r="AR920" s="52"/>
      <c r="AU920" s="52"/>
      <c r="AY920" s="53"/>
    </row>
    <row r="921">
      <c r="AD921" s="52"/>
      <c r="AF921" s="52"/>
      <c r="AR921" s="52"/>
      <c r="AU921" s="52"/>
      <c r="AY921" s="53"/>
    </row>
    <row r="922">
      <c r="AD922" s="52"/>
      <c r="AF922" s="52"/>
      <c r="AR922" s="52"/>
      <c r="AU922" s="52"/>
      <c r="AY922" s="53"/>
    </row>
    <row r="923">
      <c r="AD923" s="52"/>
      <c r="AF923" s="52"/>
      <c r="AR923" s="52"/>
      <c r="AU923" s="52"/>
      <c r="AY923" s="53"/>
    </row>
    <row r="924">
      <c r="AD924" s="52"/>
      <c r="AF924" s="52"/>
      <c r="AR924" s="52"/>
      <c r="AU924" s="52"/>
      <c r="AY924" s="53"/>
    </row>
    <row r="925">
      <c r="AD925" s="52"/>
      <c r="AF925" s="52"/>
      <c r="AR925" s="52"/>
      <c r="AU925" s="52"/>
      <c r="AY925" s="53"/>
    </row>
    <row r="926">
      <c r="AD926" s="52"/>
      <c r="AF926" s="52"/>
      <c r="AR926" s="52"/>
      <c r="AU926" s="52"/>
      <c r="AY926" s="53"/>
    </row>
    <row r="927">
      <c r="AD927" s="52"/>
      <c r="AF927" s="52"/>
      <c r="AR927" s="52"/>
      <c r="AU927" s="52"/>
      <c r="AY927" s="53"/>
    </row>
    <row r="928">
      <c r="AD928" s="52"/>
      <c r="AF928" s="52"/>
      <c r="AR928" s="52"/>
      <c r="AU928" s="52"/>
      <c r="AY928" s="53"/>
    </row>
    <row r="929">
      <c r="AD929" s="52"/>
      <c r="AF929" s="52"/>
      <c r="AR929" s="52"/>
      <c r="AU929" s="52"/>
      <c r="AY929" s="53"/>
    </row>
    <row r="930">
      <c r="AD930" s="52"/>
      <c r="AF930" s="52"/>
      <c r="AR930" s="52"/>
      <c r="AU930" s="52"/>
      <c r="AY930" s="53"/>
    </row>
    <row r="931">
      <c r="AD931" s="52"/>
      <c r="AF931" s="52"/>
      <c r="AR931" s="52"/>
      <c r="AU931" s="52"/>
      <c r="AY931" s="53"/>
    </row>
    <row r="932">
      <c r="AD932" s="52"/>
      <c r="AF932" s="52"/>
      <c r="AR932" s="52"/>
      <c r="AU932" s="52"/>
      <c r="AY932" s="53"/>
    </row>
    <row r="933">
      <c r="AD933" s="52"/>
      <c r="AF933" s="52"/>
      <c r="AR933" s="52"/>
      <c r="AU933" s="52"/>
      <c r="AY933" s="53"/>
    </row>
    <row r="934">
      <c r="AD934" s="52"/>
      <c r="AF934" s="52"/>
      <c r="AR934" s="52"/>
      <c r="AU934" s="52"/>
      <c r="AY934" s="53"/>
    </row>
    <row r="935">
      <c r="AD935" s="52"/>
      <c r="AF935" s="52"/>
      <c r="AR935" s="52"/>
      <c r="AU935" s="52"/>
      <c r="AY935" s="53"/>
    </row>
    <row r="936">
      <c r="AD936" s="52"/>
      <c r="AF936" s="52"/>
      <c r="AR936" s="52"/>
      <c r="AU936" s="52"/>
      <c r="AY936" s="53"/>
    </row>
    <row r="937">
      <c r="AD937" s="52"/>
      <c r="AF937" s="52"/>
      <c r="AR937" s="52"/>
      <c r="AU937" s="52"/>
      <c r="AY937" s="53"/>
    </row>
    <row r="938">
      <c r="AD938" s="52"/>
      <c r="AF938" s="52"/>
      <c r="AR938" s="52"/>
      <c r="AU938" s="52"/>
      <c r="AY938" s="53"/>
    </row>
    <row r="939">
      <c r="AD939" s="52"/>
      <c r="AF939" s="52"/>
      <c r="AR939" s="52"/>
      <c r="AU939" s="52"/>
      <c r="AY939" s="53"/>
    </row>
    <row r="940">
      <c r="AD940" s="52"/>
      <c r="AF940" s="52"/>
      <c r="AR940" s="52"/>
      <c r="AU940" s="52"/>
      <c r="AY940" s="53"/>
    </row>
    <row r="941">
      <c r="AD941" s="52"/>
      <c r="AF941" s="52"/>
      <c r="AR941" s="52"/>
      <c r="AU941" s="52"/>
      <c r="AY941" s="53"/>
    </row>
    <row r="942">
      <c r="AD942" s="52"/>
      <c r="AF942" s="52"/>
      <c r="AR942" s="52"/>
      <c r="AU942" s="52"/>
      <c r="AY942" s="53"/>
    </row>
    <row r="943">
      <c r="AD943" s="52"/>
      <c r="AF943" s="52"/>
      <c r="AR943" s="52"/>
      <c r="AU943" s="52"/>
      <c r="AY943" s="53"/>
    </row>
    <row r="944">
      <c r="AD944" s="52"/>
      <c r="AF944" s="52"/>
      <c r="AR944" s="52"/>
      <c r="AU944" s="52"/>
      <c r="AY944" s="53"/>
    </row>
    <row r="945">
      <c r="AD945" s="52"/>
      <c r="AF945" s="52"/>
      <c r="AR945" s="52"/>
      <c r="AU945" s="52"/>
      <c r="AY945" s="53"/>
    </row>
    <row r="946">
      <c r="AD946" s="52"/>
      <c r="AF946" s="52"/>
      <c r="AR946" s="52"/>
      <c r="AU946" s="52"/>
      <c r="AY946" s="53"/>
    </row>
    <row r="947">
      <c r="AD947" s="52"/>
      <c r="AF947" s="52"/>
      <c r="AR947" s="52"/>
      <c r="AU947" s="52"/>
      <c r="AY947" s="53"/>
    </row>
    <row r="948">
      <c r="AD948" s="52"/>
      <c r="AF948" s="52"/>
      <c r="AR948" s="52"/>
      <c r="AU948" s="52"/>
      <c r="AY948" s="53"/>
    </row>
    <row r="949">
      <c r="AD949" s="52"/>
      <c r="AF949" s="52"/>
      <c r="AR949" s="52"/>
      <c r="AU949" s="52"/>
      <c r="AY949" s="53"/>
    </row>
    <row r="950">
      <c r="AD950" s="52"/>
      <c r="AF950" s="52"/>
      <c r="AR950" s="52"/>
      <c r="AU950" s="52"/>
      <c r="AY950" s="53"/>
    </row>
    <row r="951">
      <c r="AD951" s="52"/>
      <c r="AF951" s="52"/>
      <c r="AR951" s="52"/>
      <c r="AU951" s="52"/>
      <c r="AY951" s="53"/>
    </row>
    <row r="952">
      <c r="AD952" s="52"/>
      <c r="AF952" s="52"/>
      <c r="AR952" s="52"/>
      <c r="AU952" s="52"/>
      <c r="AY952" s="53"/>
    </row>
    <row r="953">
      <c r="AD953" s="52"/>
      <c r="AF953" s="52"/>
      <c r="AR953" s="52"/>
      <c r="AU953" s="52"/>
      <c r="AY953" s="53"/>
    </row>
    <row r="954">
      <c r="AD954" s="52"/>
      <c r="AF954" s="52"/>
      <c r="AR954" s="52"/>
      <c r="AU954" s="52"/>
      <c r="AY954" s="53"/>
    </row>
    <row r="955">
      <c r="AD955" s="52"/>
      <c r="AF955" s="52"/>
      <c r="AR955" s="52"/>
      <c r="AU955" s="52"/>
      <c r="AY955" s="53"/>
    </row>
    <row r="956">
      <c r="AD956" s="52"/>
      <c r="AF956" s="52"/>
      <c r="AR956" s="52"/>
      <c r="AU956" s="52"/>
      <c r="AY956" s="53"/>
    </row>
    <row r="957">
      <c r="AD957" s="52"/>
      <c r="AF957" s="52"/>
      <c r="AR957" s="52"/>
      <c r="AU957" s="52"/>
      <c r="AY957" s="53"/>
    </row>
    <row r="958">
      <c r="AD958" s="52"/>
      <c r="AF958" s="52"/>
      <c r="AR958" s="52"/>
      <c r="AU958" s="52"/>
      <c r="AY958" s="53"/>
    </row>
    <row r="959">
      <c r="AD959" s="52"/>
      <c r="AF959" s="52"/>
      <c r="AR959" s="52"/>
      <c r="AU959" s="52"/>
      <c r="AY959" s="53"/>
    </row>
    <row r="960">
      <c r="AD960" s="52"/>
      <c r="AF960" s="52"/>
      <c r="AR960" s="52"/>
      <c r="AU960" s="52"/>
      <c r="AY960" s="53"/>
    </row>
    <row r="961">
      <c r="AD961" s="52"/>
      <c r="AF961" s="52"/>
      <c r="AR961" s="52"/>
      <c r="AU961" s="52"/>
      <c r="AY961" s="53"/>
    </row>
    <row r="962">
      <c r="AD962" s="52"/>
      <c r="AF962" s="52"/>
      <c r="AR962" s="52"/>
      <c r="AU962" s="52"/>
      <c r="AY962" s="53"/>
    </row>
    <row r="963">
      <c r="AD963" s="52"/>
      <c r="AF963" s="52"/>
      <c r="AR963" s="52"/>
      <c r="AU963" s="52"/>
      <c r="AY963" s="53"/>
    </row>
    <row r="964">
      <c r="AD964" s="52"/>
      <c r="AF964" s="52"/>
      <c r="AR964" s="52"/>
      <c r="AU964" s="52"/>
      <c r="AY964" s="53"/>
    </row>
    <row r="965">
      <c r="AD965" s="52"/>
      <c r="AF965" s="52"/>
      <c r="AR965" s="52"/>
      <c r="AU965" s="52"/>
      <c r="AY965" s="53"/>
    </row>
    <row r="966">
      <c r="AD966" s="52"/>
      <c r="AF966" s="52"/>
      <c r="AR966" s="52"/>
      <c r="AU966" s="52"/>
      <c r="AY966" s="53"/>
    </row>
    <row r="967">
      <c r="AD967" s="52"/>
      <c r="AF967" s="52"/>
      <c r="AR967" s="52"/>
      <c r="AU967" s="52"/>
      <c r="AY967" s="53"/>
    </row>
    <row r="968">
      <c r="AD968" s="52"/>
      <c r="AF968" s="52"/>
      <c r="AR968" s="52"/>
      <c r="AU968" s="52"/>
      <c r="AY968" s="53"/>
    </row>
    <row r="969">
      <c r="AD969" s="52"/>
      <c r="AF969" s="52"/>
      <c r="AR969" s="52"/>
      <c r="AU969" s="52"/>
      <c r="AY969" s="53"/>
    </row>
    <row r="970">
      <c r="AD970" s="52"/>
      <c r="AF970" s="52"/>
      <c r="AR970" s="52"/>
      <c r="AU970" s="52"/>
      <c r="AY970" s="53"/>
    </row>
    <row r="971">
      <c r="AD971" s="52"/>
      <c r="AF971" s="52"/>
      <c r="AR971" s="52"/>
      <c r="AU971" s="52"/>
      <c r="AY971" s="53"/>
    </row>
    <row r="972">
      <c r="AD972" s="52"/>
      <c r="AF972" s="52"/>
      <c r="AR972" s="52"/>
      <c r="AU972" s="52"/>
      <c r="AY972" s="53"/>
    </row>
    <row r="973">
      <c r="AD973" s="52"/>
      <c r="AF973" s="52"/>
      <c r="AR973" s="52"/>
      <c r="AU973" s="52"/>
      <c r="AY973" s="53"/>
    </row>
    <row r="974">
      <c r="AD974" s="52"/>
      <c r="AF974" s="52"/>
      <c r="AR974" s="52"/>
      <c r="AU974" s="52"/>
      <c r="AY974" s="53"/>
    </row>
    <row r="975">
      <c r="AD975" s="52"/>
      <c r="AF975" s="52"/>
      <c r="AR975" s="52"/>
      <c r="AU975" s="52"/>
      <c r="AY975" s="53"/>
    </row>
    <row r="976">
      <c r="AD976" s="52"/>
      <c r="AF976" s="52"/>
      <c r="AR976" s="52"/>
      <c r="AU976" s="52"/>
      <c r="AY976" s="53"/>
    </row>
    <row r="977">
      <c r="AD977" s="52"/>
      <c r="AF977" s="52"/>
      <c r="AR977" s="52"/>
      <c r="AU977" s="52"/>
      <c r="AY977" s="53"/>
    </row>
    <row r="978">
      <c r="AD978" s="52"/>
      <c r="AF978" s="52"/>
      <c r="AR978" s="52"/>
      <c r="AU978" s="52"/>
      <c r="AY978" s="53"/>
    </row>
    <row r="979">
      <c r="AD979" s="52"/>
      <c r="AF979" s="52"/>
      <c r="AR979" s="52"/>
      <c r="AU979" s="52"/>
      <c r="AY979" s="53"/>
    </row>
    <row r="980">
      <c r="AD980" s="52"/>
      <c r="AF980" s="52"/>
      <c r="AR980" s="52"/>
      <c r="AU980" s="52"/>
      <c r="AY980" s="53"/>
    </row>
    <row r="981">
      <c r="AD981" s="52"/>
      <c r="AF981" s="52"/>
      <c r="AR981" s="52"/>
      <c r="AU981" s="52"/>
      <c r="AY981" s="53"/>
    </row>
    <row r="982">
      <c r="AD982" s="52"/>
      <c r="AF982" s="52"/>
      <c r="AR982" s="52"/>
      <c r="AU982" s="52"/>
      <c r="AY982" s="53"/>
    </row>
    <row r="983">
      <c r="AD983" s="52"/>
      <c r="AF983" s="52"/>
      <c r="AR983" s="52"/>
      <c r="AU983" s="52"/>
      <c r="AY983" s="53"/>
    </row>
    <row r="984">
      <c r="AD984" s="52"/>
      <c r="AF984" s="52"/>
      <c r="AR984" s="52"/>
      <c r="AU984" s="52"/>
      <c r="AY984" s="53"/>
    </row>
    <row r="985">
      <c r="AD985" s="52"/>
      <c r="AF985" s="52"/>
      <c r="AR985" s="52"/>
      <c r="AU985" s="52"/>
      <c r="AY985" s="53"/>
    </row>
    <row r="986">
      <c r="AD986" s="52"/>
      <c r="AF986" s="52"/>
      <c r="AR986" s="52"/>
      <c r="AU986" s="52"/>
      <c r="AY986" s="53"/>
    </row>
    <row r="987">
      <c r="AD987" s="52"/>
      <c r="AF987" s="52"/>
      <c r="AR987" s="52"/>
      <c r="AU987" s="52"/>
      <c r="AY987" s="53"/>
    </row>
    <row r="988">
      <c r="AD988" s="52"/>
      <c r="AF988" s="52"/>
      <c r="AR988" s="52"/>
      <c r="AU988" s="52"/>
      <c r="AY988" s="53"/>
    </row>
    <row r="989">
      <c r="AD989" s="52"/>
      <c r="AF989" s="52"/>
      <c r="AR989" s="52"/>
      <c r="AU989" s="52"/>
      <c r="AY989" s="53"/>
    </row>
    <row r="990">
      <c r="AD990" s="52"/>
      <c r="AF990" s="52"/>
      <c r="AR990" s="52"/>
      <c r="AU990" s="52"/>
      <c r="AY990" s="53"/>
    </row>
    <row r="991">
      <c r="AD991" s="52"/>
      <c r="AF991" s="52"/>
      <c r="AR991" s="52"/>
      <c r="AU991" s="52"/>
      <c r="AY991" s="53"/>
    </row>
  </sheetData>
  <mergeCells count="6">
    <mergeCell ref="A2:A28"/>
    <mergeCell ref="AU2:AU119"/>
    <mergeCell ref="A29:A38"/>
    <mergeCell ref="A39:A69"/>
    <mergeCell ref="A70:A87"/>
    <mergeCell ref="A90:A99"/>
  </mergeCells>
  <conditionalFormatting sqref="D1:BC1">
    <cfRule type="expression" dxfId="0" priority="1">
      <formula>AND(ISNUMBER(D1),TRUNC(D1)&lt;TODAY())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.25"/>
    <col customWidth="1" min="2" max="2" width="22.75"/>
    <col customWidth="1" min="11" max="11" width="13.75"/>
    <col customWidth="1" min="50" max="64" width="20.88"/>
  </cols>
  <sheetData>
    <row r="1">
      <c r="A1" s="1"/>
      <c r="B1" s="2" t="s">
        <v>0</v>
      </c>
      <c r="C1" s="2" t="s">
        <v>1</v>
      </c>
      <c r="D1" s="3">
        <v>44932.0</v>
      </c>
      <c r="E1" s="99">
        <v>44939.0</v>
      </c>
      <c r="F1" s="3">
        <v>44946.0</v>
      </c>
      <c r="G1" s="4">
        <v>44953.0</v>
      </c>
      <c r="H1" s="3">
        <v>44960.0</v>
      </c>
      <c r="I1" s="3">
        <v>44967.0</v>
      </c>
      <c r="J1" s="4">
        <v>44974.0</v>
      </c>
      <c r="K1" s="3">
        <v>44981.0</v>
      </c>
      <c r="L1" s="4">
        <v>44988.0</v>
      </c>
      <c r="M1" s="3">
        <v>44995.0</v>
      </c>
      <c r="N1" s="3">
        <v>45002.0</v>
      </c>
      <c r="O1" s="4">
        <v>45009.0</v>
      </c>
      <c r="P1" s="3">
        <v>45016.0</v>
      </c>
      <c r="Q1" s="4">
        <v>45023.0</v>
      </c>
      <c r="R1" s="3">
        <v>45030.0</v>
      </c>
      <c r="S1" s="3">
        <v>45037.0</v>
      </c>
      <c r="T1" s="99">
        <v>45044.0</v>
      </c>
      <c r="U1" s="3">
        <v>45051.0</v>
      </c>
      <c r="V1" s="3">
        <v>45058.0</v>
      </c>
      <c r="W1" s="4">
        <v>45065.0</v>
      </c>
      <c r="X1" s="90">
        <v>45072.0</v>
      </c>
      <c r="Y1" s="4">
        <v>45079.0</v>
      </c>
      <c r="Z1" s="3">
        <v>45086.0</v>
      </c>
      <c r="AA1" s="3">
        <v>45093.0</v>
      </c>
      <c r="AB1" s="4">
        <v>45100.0</v>
      </c>
      <c r="AC1" s="3">
        <v>45107.0</v>
      </c>
      <c r="AD1" s="4">
        <v>45114.0</v>
      </c>
      <c r="AE1" s="90">
        <v>45121.0</v>
      </c>
      <c r="AF1" s="90">
        <v>45128.0</v>
      </c>
      <c r="AG1" s="100">
        <v>45135.0</v>
      </c>
      <c r="AH1" s="3">
        <v>45141.0</v>
      </c>
      <c r="AI1" s="4">
        <v>45148.0</v>
      </c>
      <c r="AJ1" s="3">
        <v>45155.0</v>
      </c>
      <c r="AK1" s="3">
        <v>45162.0</v>
      </c>
      <c r="AL1" s="4">
        <v>45169.0</v>
      </c>
      <c r="AM1" s="3">
        <v>45176.0</v>
      </c>
      <c r="AN1" s="3">
        <v>45183.0</v>
      </c>
      <c r="AO1" s="4">
        <v>45190.0</v>
      </c>
      <c r="AP1" s="3">
        <v>45197.0</v>
      </c>
      <c r="AQ1" s="3">
        <v>45204.0</v>
      </c>
      <c r="AR1" s="4">
        <v>45211.0</v>
      </c>
      <c r="AS1" s="3">
        <v>45218.0</v>
      </c>
      <c r="AT1" s="3">
        <v>45225.0</v>
      </c>
      <c r="AU1" s="101">
        <v>45232.0</v>
      </c>
      <c r="AV1" s="3">
        <v>45239.0</v>
      </c>
      <c r="AW1" s="102">
        <v>45246.0</v>
      </c>
      <c r="AX1" s="101">
        <v>45253.0</v>
      </c>
      <c r="AY1" s="3">
        <v>45260.0</v>
      </c>
      <c r="AZ1" s="4">
        <v>45267.0</v>
      </c>
      <c r="BA1" s="103">
        <v>45274.0</v>
      </c>
      <c r="BB1" s="102">
        <v>45281.0</v>
      </c>
      <c r="BC1" s="101">
        <v>45288.0</v>
      </c>
      <c r="BD1" s="4"/>
      <c r="BE1" s="3"/>
      <c r="BF1" s="4"/>
      <c r="BG1" s="4"/>
      <c r="BH1" s="3"/>
      <c r="BI1" s="4"/>
      <c r="BJ1" s="4"/>
      <c r="BK1" s="3"/>
      <c r="BL1" s="4"/>
    </row>
    <row r="2">
      <c r="A2" s="91" t="s">
        <v>2</v>
      </c>
      <c r="B2" s="16" t="s">
        <v>114</v>
      </c>
      <c r="C2" s="17" t="s">
        <v>2</v>
      </c>
      <c r="D2" s="16" t="s">
        <v>4</v>
      </c>
      <c r="E2" s="104"/>
      <c r="F2" s="16"/>
      <c r="G2" s="16" t="s">
        <v>4</v>
      </c>
      <c r="H2" s="104"/>
      <c r="I2" s="16" t="s">
        <v>4</v>
      </c>
      <c r="J2" s="16" t="s">
        <v>4</v>
      </c>
      <c r="K2" s="16" t="s">
        <v>4</v>
      </c>
      <c r="L2" s="16"/>
      <c r="M2" s="16"/>
      <c r="N2" s="16" t="s">
        <v>4</v>
      </c>
      <c r="O2" s="16" t="s">
        <v>4</v>
      </c>
      <c r="P2" s="16" t="s">
        <v>4</v>
      </c>
      <c r="Q2" s="20"/>
      <c r="R2" s="16"/>
      <c r="S2" s="20"/>
      <c r="T2" s="105"/>
      <c r="U2" s="16" t="s">
        <v>4</v>
      </c>
      <c r="V2" s="16" t="s">
        <v>4</v>
      </c>
      <c r="W2" s="16" t="s">
        <v>4</v>
      </c>
      <c r="X2" s="40"/>
      <c r="Y2" s="16" t="s">
        <v>4</v>
      </c>
      <c r="Z2" s="16" t="s">
        <v>4</v>
      </c>
      <c r="AA2" s="20"/>
      <c r="AB2" s="20"/>
      <c r="AC2" s="16" t="s">
        <v>4</v>
      </c>
      <c r="AD2" s="20"/>
      <c r="AE2" s="43"/>
      <c r="AF2" s="43"/>
      <c r="AG2" s="43"/>
      <c r="AH2" s="16"/>
      <c r="AI2" s="20"/>
      <c r="AJ2" s="16" t="s">
        <v>4</v>
      </c>
      <c r="AK2" s="16" t="s">
        <v>4</v>
      </c>
      <c r="AL2" s="16" t="s">
        <v>4</v>
      </c>
      <c r="AM2" s="17" t="s">
        <v>4</v>
      </c>
      <c r="AN2" s="16"/>
      <c r="AO2" s="20"/>
      <c r="AP2" s="17" t="s">
        <v>4</v>
      </c>
      <c r="AQ2" s="20"/>
      <c r="AR2" s="17" t="s">
        <v>4</v>
      </c>
      <c r="AS2" s="17" t="s">
        <v>4</v>
      </c>
      <c r="AT2" s="16" t="s">
        <v>4</v>
      </c>
      <c r="AU2" s="106"/>
      <c r="AV2" s="16"/>
      <c r="AW2" s="106"/>
      <c r="AX2" s="16"/>
      <c r="AY2" s="16"/>
      <c r="AZ2" s="16" t="s">
        <v>4</v>
      </c>
      <c r="BA2" s="16" t="s">
        <v>4</v>
      </c>
      <c r="BB2" s="107"/>
      <c r="BC2" s="107"/>
      <c r="BD2" s="16"/>
      <c r="BE2" s="16"/>
      <c r="BF2" s="16"/>
      <c r="BG2" s="16"/>
      <c r="BH2" s="16"/>
      <c r="BI2" s="16"/>
      <c r="BJ2" s="16"/>
      <c r="BK2" s="16"/>
      <c r="BL2" s="16"/>
    </row>
    <row r="3">
      <c r="A3" s="15"/>
      <c r="B3" s="16" t="s">
        <v>3</v>
      </c>
      <c r="C3" s="17" t="s">
        <v>2</v>
      </c>
      <c r="D3" s="16"/>
      <c r="E3" s="104"/>
      <c r="F3" s="16"/>
      <c r="G3" s="16"/>
      <c r="H3" s="104"/>
      <c r="I3" s="16" t="s">
        <v>4</v>
      </c>
      <c r="J3" s="16" t="s">
        <v>4</v>
      </c>
      <c r="K3" s="16" t="s">
        <v>4</v>
      </c>
      <c r="L3" s="16" t="s">
        <v>4</v>
      </c>
      <c r="M3" s="16"/>
      <c r="N3" s="16"/>
      <c r="O3" s="16" t="s">
        <v>4</v>
      </c>
      <c r="P3" s="20"/>
      <c r="Q3" s="16"/>
      <c r="R3" s="16" t="s">
        <v>4</v>
      </c>
      <c r="S3" s="16"/>
      <c r="T3" s="104"/>
      <c r="U3" s="16" t="s">
        <v>4</v>
      </c>
      <c r="V3" s="16" t="s">
        <v>4</v>
      </c>
      <c r="W3" s="16"/>
      <c r="X3" s="40"/>
      <c r="Y3" s="16" t="s">
        <v>4</v>
      </c>
      <c r="Z3" s="16"/>
      <c r="AA3" s="16" t="s">
        <v>4</v>
      </c>
      <c r="AB3" s="16" t="s">
        <v>4</v>
      </c>
      <c r="AC3" s="16"/>
      <c r="AD3" s="16" t="s">
        <v>4</v>
      </c>
      <c r="AE3" s="40"/>
      <c r="AF3" s="40"/>
      <c r="AG3" s="40"/>
      <c r="AH3" s="16" t="s">
        <v>4</v>
      </c>
      <c r="AI3" s="16"/>
      <c r="AJ3" s="16"/>
      <c r="AK3" s="16"/>
      <c r="AL3" s="16"/>
      <c r="AM3" s="17"/>
      <c r="AN3" s="16"/>
      <c r="AO3" s="16" t="s">
        <v>4</v>
      </c>
      <c r="AP3" s="17" t="s">
        <v>4</v>
      </c>
      <c r="AQ3" s="16"/>
      <c r="AR3" s="17"/>
      <c r="AS3" s="17"/>
      <c r="AT3" s="16" t="s">
        <v>4</v>
      </c>
      <c r="AU3" s="107"/>
      <c r="AV3" s="16"/>
      <c r="AW3" s="107"/>
      <c r="AZ3" s="16" t="s">
        <v>4</v>
      </c>
      <c r="BB3" s="108"/>
      <c r="BC3" s="108"/>
    </row>
    <row r="4">
      <c r="A4" s="15"/>
      <c r="B4" s="16" t="s">
        <v>7</v>
      </c>
      <c r="C4" s="17" t="s">
        <v>2</v>
      </c>
      <c r="D4" s="16" t="s">
        <v>4</v>
      </c>
      <c r="E4" s="104"/>
      <c r="F4" s="16"/>
      <c r="G4" s="16" t="s">
        <v>4</v>
      </c>
      <c r="H4" s="104"/>
      <c r="I4" s="16" t="s">
        <v>4</v>
      </c>
      <c r="J4" s="16" t="s">
        <v>4</v>
      </c>
      <c r="K4" s="16" t="s">
        <v>4</v>
      </c>
      <c r="L4" s="16" t="s">
        <v>4</v>
      </c>
      <c r="M4" s="16"/>
      <c r="N4" s="16" t="s">
        <v>4</v>
      </c>
      <c r="O4" s="16" t="s">
        <v>4</v>
      </c>
      <c r="P4" s="16" t="s">
        <v>4</v>
      </c>
      <c r="Q4" s="16" t="s">
        <v>4</v>
      </c>
      <c r="R4" s="16" t="s">
        <v>4</v>
      </c>
      <c r="S4" s="16"/>
      <c r="T4" s="104"/>
      <c r="U4" s="16" t="s">
        <v>4</v>
      </c>
      <c r="V4" s="16" t="s">
        <v>4</v>
      </c>
      <c r="W4" s="16"/>
      <c r="X4" s="40"/>
      <c r="Y4" s="16" t="s">
        <v>4</v>
      </c>
      <c r="Z4" s="16" t="s">
        <v>4</v>
      </c>
      <c r="AA4" s="16" t="s">
        <v>4</v>
      </c>
      <c r="AB4" s="16" t="s">
        <v>4</v>
      </c>
      <c r="AC4" s="16"/>
      <c r="AD4" s="16" t="s">
        <v>4</v>
      </c>
      <c r="AE4" s="40"/>
      <c r="AF4" s="40"/>
      <c r="AG4" s="40"/>
      <c r="AH4" s="16" t="s">
        <v>4</v>
      </c>
      <c r="AI4" s="16" t="s">
        <v>4</v>
      </c>
      <c r="AJ4" s="16" t="s">
        <v>4</v>
      </c>
      <c r="AK4" s="16" t="s">
        <v>4</v>
      </c>
      <c r="AL4" s="16" t="s">
        <v>4</v>
      </c>
      <c r="AM4" s="17"/>
      <c r="AN4" s="16"/>
      <c r="AO4" s="16" t="s">
        <v>4</v>
      </c>
      <c r="AP4" s="17" t="s">
        <v>4</v>
      </c>
      <c r="AQ4" s="16"/>
      <c r="AR4" s="17" t="s">
        <v>4</v>
      </c>
      <c r="AS4" s="17" t="s">
        <v>4</v>
      </c>
      <c r="AT4" s="16" t="s">
        <v>4</v>
      </c>
      <c r="AU4" s="107"/>
      <c r="AV4" s="16"/>
      <c r="AW4" s="107"/>
      <c r="AX4" s="16"/>
      <c r="AY4" s="16"/>
      <c r="AZ4" s="16" t="s">
        <v>4</v>
      </c>
      <c r="BA4" s="16"/>
      <c r="BB4" s="107"/>
      <c r="BC4" s="107"/>
      <c r="BD4" s="16"/>
      <c r="BE4" s="16"/>
      <c r="BF4" s="16"/>
      <c r="BG4" s="16"/>
      <c r="BH4" s="16"/>
      <c r="BI4" s="16"/>
      <c r="BJ4" s="16"/>
      <c r="BK4" s="16"/>
      <c r="BL4" s="16"/>
    </row>
    <row r="5">
      <c r="A5" s="15"/>
      <c r="B5" s="16" t="s">
        <v>8</v>
      </c>
      <c r="C5" s="17" t="s">
        <v>2</v>
      </c>
      <c r="D5" s="16" t="s">
        <v>4</v>
      </c>
      <c r="E5" s="104"/>
      <c r="F5" s="16" t="s">
        <v>4</v>
      </c>
      <c r="G5" s="16" t="s">
        <v>4</v>
      </c>
      <c r="H5" s="104"/>
      <c r="I5" s="16" t="s">
        <v>4</v>
      </c>
      <c r="J5" s="16" t="s">
        <v>4</v>
      </c>
      <c r="K5" s="16" t="s">
        <v>4</v>
      </c>
      <c r="L5" s="16" t="s">
        <v>4</v>
      </c>
      <c r="M5" s="16" t="s">
        <v>4</v>
      </c>
      <c r="N5" s="16" t="s">
        <v>4</v>
      </c>
      <c r="O5" s="16" t="s">
        <v>4</v>
      </c>
      <c r="P5" s="16" t="s">
        <v>4</v>
      </c>
      <c r="Q5" s="16"/>
      <c r="R5" s="16" t="s">
        <v>4</v>
      </c>
      <c r="S5" s="16" t="s">
        <v>4</v>
      </c>
      <c r="T5" s="104"/>
      <c r="U5" s="16"/>
      <c r="V5" s="16" t="s">
        <v>4</v>
      </c>
      <c r="W5" s="16" t="s">
        <v>4</v>
      </c>
      <c r="X5" s="40"/>
      <c r="Y5" s="16" t="s">
        <v>4</v>
      </c>
      <c r="Z5" s="16" t="s">
        <v>4</v>
      </c>
      <c r="AA5" s="16" t="s">
        <v>4</v>
      </c>
      <c r="AB5" s="16" t="s">
        <v>4</v>
      </c>
      <c r="AC5" s="16"/>
      <c r="AD5" s="16"/>
      <c r="AE5" s="40"/>
      <c r="AF5" s="40"/>
      <c r="AG5" s="40"/>
      <c r="AH5" s="16"/>
      <c r="AI5" s="16" t="s">
        <v>4</v>
      </c>
      <c r="AJ5" s="16"/>
      <c r="AK5" s="16"/>
      <c r="AL5" s="16"/>
      <c r="AM5" s="17" t="s">
        <v>4</v>
      </c>
      <c r="AN5" s="16"/>
      <c r="AO5" s="16" t="s">
        <v>4</v>
      </c>
      <c r="AP5" s="17" t="s">
        <v>4</v>
      </c>
      <c r="AQ5" s="16"/>
      <c r="AR5" s="17"/>
      <c r="AS5" s="17" t="s">
        <v>4</v>
      </c>
      <c r="AT5" s="16"/>
      <c r="AU5" s="107"/>
      <c r="AV5" s="16"/>
      <c r="AW5" s="107"/>
      <c r="AX5" s="16"/>
      <c r="AY5" s="16"/>
      <c r="AZ5" s="16" t="s">
        <v>4</v>
      </c>
      <c r="BA5" s="16" t="s">
        <v>4</v>
      </c>
      <c r="BB5" s="107"/>
      <c r="BC5" s="107"/>
      <c r="BD5" s="16"/>
      <c r="BE5" s="16"/>
      <c r="BF5" s="16"/>
      <c r="BG5" s="16"/>
      <c r="BH5" s="16"/>
      <c r="BI5" s="16"/>
      <c r="BJ5" s="16"/>
      <c r="BK5" s="16"/>
      <c r="BL5" s="16"/>
    </row>
    <row r="6">
      <c r="A6" s="15"/>
      <c r="B6" s="20" t="s">
        <v>116</v>
      </c>
      <c r="C6" s="17" t="s">
        <v>2</v>
      </c>
      <c r="D6" s="16" t="s">
        <v>4</v>
      </c>
      <c r="E6" s="104"/>
      <c r="F6" s="16" t="s">
        <v>4</v>
      </c>
      <c r="G6" s="16" t="s">
        <v>4</v>
      </c>
      <c r="H6" s="104"/>
      <c r="I6" s="16"/>
      <c r="J6" s="16"/>
      <c r="K6" s="16" t="s">
        <v>4</v>
      </c>
      <c r="L6" s="16" t="s">
        <v>4</v>
      </c>
      <c r="M6" s="16" t="s">
        <v>4</v>
      </c>
      <c r="N6" s="16"/>
      <c r="O6" s="16"/>
      <c r="P6" s="16" t="s">
        <v>4</v>
      </c>
      <c r="Q6" s="16" t="s">
        <v>4</v>
      </c>
      <c r="R6" s="16" t="s">
        <v>4</v>
      </c>
      <c r="S6" s="16"/>
      <c r="T6" s="104"/>
      <c r="U6" s="16" t="s">
        <v>4</v>
      </c>
      <c r="V6" s="16" t="s">
        <v>4</v>
      </c>
      <c r="W6" s="16" t="s">
        <v>4</v>
      </c>
      <c r="X6" s="40"/>
      <c r="Y6" s="16" t="s">
        <v>4</v>
      </c>
      <c r="Z6" s="16" t="s">
        <v>4</v>
      </c>
      <c r="AA6" s="16" t="s">
        <v>4</v>
      </c>
      <c r="AB6" s="16" t="s">
        <v>4</v>
      </c>
      <c r="AC6" s="16"/>
      <c r="AD6" s="20" t="s">
        <v>4</v>
      </c>
      <c r="AE6" s="40"/>
      <c r="AF6" s="40"/>
      <c r="AG6" s="40"/>
      <c r="AH6" s="16"/>
      <c r="AI6" s="16" t="s">
        <v>4</v>
      </c>
      <c r="AJ6" s="16" t="s">
        <v>4</v>
      </c>
      <c r="AK6" s="16" t="s">
        <v>4</v>
      </c>
      <c r="AL6" s="16" t="s">
        <v>4</v>
      </c>
      <c r="AM6" s="17" t="s">
        <v>4</v>
      </c>
      <c r="AN6" s="16"/>
      <c r="AO6" s="16" t="s">
        <v>4</v>
      </c>
      <c r="AP6" s="17"/>
      <c r="AQ6" s="16" t="s">
        <v>4</v>
      </c>
      <c r="AR6" s="17" t="s">
        <v>4</v>
      </c>
      <c r="AS6" s="17"/>
      <c r="AT6" s="16" t="s">
        <v>4</v>
      </c>
      <c r="AU6" s="107"/>
      <c r="AV6" s="16"/>
      <c r="AW6" s="107"/>
      <c r="AX6" s="16"/>
      <c r="AY6" s="16"/>
      <c r="AZ6" s="16"/>
      <c r="BA6" s="16" t="s">
        <v>4</v>
      </c>
      <c r="BB6" s="107"/>
      <c r="BC6" s="107"/>
      <c r="BD6" s="16"/>
      <c r="BE6" s="16"/>
      <c r="BF6" s="16"/>
      <c r="BG6" s="16"/>
      <c r="BH6" s="16"/>
      <c r="BI6" s="16"/>
      <c r="BJ6" s="16"/>
      <c r="BK6" s="16"/>
      <c r="BL6" s="16"/>
    </row>
    <row r="7">
      <c r="A7" s="15"/>
      <c r="B7" s="16" t="s">
        <v>10</v>
      </c>
      <c r="C7" s="17" t="s">
        <v>2</v>
      </c>
      <c r="D7" s="16" t="s">
        <v>4</v>
      </c>
      <c r="E7" s="104"/>
      <c r="F7" s="16" t="s">
        <v>4</v>
      </c>
      <c r="G7" s="16" t="s">
        <v>4</v>
      </c>
      <c r="H7" s="104"/>
      <c r="I7" s="20"/>
      <c r="J7" s="16" t="s">
        <v>4</v>
      </c>
      <c r="K7" s="16" t="s">
        <v>4</v>
      </c>
      <c r="L7" s="16" t="s">
        <v>4</v>
      </c>
      <c r="M7" s="16" t="s">
        <v>4</v>
      </c>
      <c r="N7" s="16"/>
      <c r="O7" s="16"/>
      <c r="P7" s="16" t="s">
        <v>4</v>
      </c>
      <c r="Q7" s="16" t="s">
        <v>4</v>
      </c>
      <c r="R7" s="16" t="s">
        <v>4</v>
      </c>
      <c r="S7" s="16" t="s">
        <v>4</v>
      </c>
      <c r="T7" s="104"/>
      <c r="U7" s="16" t="s">
        <v>4</v>
      </c>
      <c r="V7" s="16" t="s">
        <v>4</v>
      </c>
      <c r="W7" s="16" t="s">
        <v>4</v>
      </c>
      <c r="X7" s="40"/>
      <c r="Y7" s="16"/>
      <c r="Z7" s="16" t="s">
        <v>4</v>
      </c>
      <c r="AA7" s="16" t="s">
        <v>4</v>
      </c>
      <c r="AB7" s="16" t="s">
        <v>4</v>
      </c>
      <c r="AC7" s="16"/>
      <c r="AD7" s="16" t="s">
        <v>4</v>
      </c>
      <c r="AE7" s="40"/>
      <c r="AF7" s="40"/>
      <c r="AG7" s="40"/>
      <c r="AH7" s="16" t="s">
        <v>4</v>
      </c>
      <c r="AI7" s="16"/>
      <c r="AJ7" s="16" t="s">
        <v>4</v>
      </c>
      <c r="AK7" s="16" t="s">
        <v>4</v>
      </c>
      <c r="AL7" s="16" t="s">
        <v>4</v>
      </c>
      <c r="AM7" s="17" t="s">
        <v>4</v>
      </c>
      <c r="AN7" s="16" t="s">
        <v>4</v>
      </c>
      <c r="AO7" s="16"/>
      <c r="AP7" s="17" t="s">
        <v>4</v>
      </c>
      <c r="AQ7" s="16" t="s">
        <v>4</v>
      </c>
      <c r="AR7" s="17" t="s">
        <v>4</v>
      </c>
      <c r="AS7" s="17" t="s">
        <v>4</v>
      </c>
      <c r="AT7" s="16" t="s">
        <v>4</v>
      </c>
      <c r="AU7" s="107"/>
      <c r="AV7" s="16"/>
      <c r="AW7" s="107"/>
      <c r="AX7" s="16"/>
      <c r="AY7" s="16"/>
      <c r="AZ7" s="16"/>
      <c r="BA7" s="16"/>
      <c r="BB7" s="107"/>
      <c r="BC7" s="107"/>
      <c r="BD7" s="16"/>
      <c r="BE7" s="16"/>
      <c r="BF7" s="16"/>
      <c r="BG7" s="16"/>
      <c r="BH7" s="16"/>
      <c r="BI7" s="16"/>
      <c r="BJ7" s="16"/>
      <c r="BK7" s="16"/>
      <c r="BL7" s="16"/>
    </row>
    <row r="8">
      <c r="A8" s="15"/>
      <c r="B8" s="16" t="s">
        <v>11</v>
      </c>
      <c r="C8" s="17" t="s">
        <v>2</v>
      </c>
      <c r="D8" s="16" t="s">
        <v>4</v>
      </c>
      <c r="E8" s="104"/>
      <c r="F8" s="16" t="s">
        <v>4</v>
      </c>
      <c r="G8" s="16" t="s">
        <v>4</v>
      </c>
      <c r="H8" s="104"/>
      <c r="I8" s="16" t="s">
        <v>4</v>
      </c>
      <c r="J8" s="16" t="s">
        <v>4</v>
      </c>
      <c r="K8" s="16" t="s">
        <v>4</v>
      </c>
      <c r="L8" s="16" t="s">
        <v>4</v>
      </c>
      <c r="M8" s="16" t="s">
        <v>4</v>
      </c>
      <c r="N8" s="16" t="s">
        <v>4</v>
      </c>
      <c r="O8" s="16" t="s">
        <v>4</v>
      </c>
      <c r="P8" s="16" t="s">
        <v>4</v>
      </c>
      <c r="Q8" s="16" t="s">
        <v>4</v>
      </c>
      <c r="R8" s="16" t="s">
        <v>4</v>
      </c>
      <c r="S8" s="16"/>
      <c r="T8" s="104"/>
      <c r="U8" s="16" t="s">
        <v>4</v>
      </c>
      <c r="V8" s="16"/>
      <c r="W8" s="16"/>
      <c r="X8" s="40"/>
      <c r="Y8" s="16"/>
      <c r="Z8" s="16" t="s">
        <v>4</v>
      </c>
      <c r="AA8" s="16" t="s">
        <v>4</v>
      </c>
      <c r="AB8" s="16" t="s">
        <v>4</v>
      </c>
      <c r="AC8" s="16"/>
      <c r="AD8" s="16" t="s">
        <v>4</v>
      </c>
      <c r="AE8" s="40"/>
      <c r="AF8" s="40"/>
      <c r="AG8" s="40"/>
      <c r="AH8" s="16"/>
      <c r="AI8" s="16"/>
      <c r="AJ8" s="16" t="s">
        <v>4</v>
      </c>
      <c r="AK8" s="16" t="s">
        <v>4</v>
      </c>
      <c r="AL8" s="16"/>
      <c r="AM8" s="17"/>
      <c r="AN8" s="16" t="s">
        <v>4</v>
      </c>
      <c r="AO8" s="16" t="s">
        <v>4</v>
      </c>
      <c r="AP8" s="17"/>
      <c r="AQ8" s="16" t="s">
        <v>4</v>
      </c>
      <c r="AR8" s="17" t="s">
        <v>4</v>
      </c>
      <c r="AS8" s="17"/>
      <c r="AT8" s="16" t="s">
        <v>4</v>
      </c>
      <c r="AU8" s="107"/>
      <c r="AV8" s="16"/>
      <c r="AW8" s="107"/>
      <c r="AX8" s="16"/>
      <c r="AY8" s="16"/>
      <c r="AZ8" s="16" t="s">
        <v>4</v>
      </c>
      <c r="BA8" s="16" t="s">
        <v>4</v>
      </c>
      <c r="BB8" s="107"/>
      <c r="BC8" s="107"/>
      <c r="BD8" s="16"/>
      <c r="BE8" s="16"/>
      <c r="BF8" s="16"/>
      <c r="BG8" s="16"/>
      <c r="BH8" s="16"/>
      <c r="BI8" s="16"/>
      <c r="BJ8" s="16"/>
      <c r="BK8" s="16"/>
      <c r="BL8" s="16"/>
    </row>
    <row r="9">
      <c r="A9" s="15"/>
      <c r="B9" s="16" t="s">
        <v>12</v>
      </c>
      <c r="C9" s="17" t="s">
        <v>2</v>
      </c>
      <c r="D9" s="16" t="s">
        <v>4</v>
      </c>
      <c r="E9" s="104"/>
      <c r="F9" s="16" t="s">
        <v>4</v>
      </c>
      <c r="G9" s="16" t="s">
        <v>4</v>
      </c>
      <c r="H9" s="104"/>
      <c r="I9" s="16" t="s">
        <v>4</v>
      </c>
      <c r="J9" s="16" t="s">
        <v>4</v>
      </c>
      <c r="K9" s="16" t="s">
        <v>4</v>
      </c>
      <c r="L9" s="16" t="s">
        <v>4</v>
      </c>
      <c r="M9" s="16" t="s">
        <v>4</v>
      </c>
      <c r="N9" s="16" t="s">
        <v>4</v>
      </c>
      <c r="O9" s="16" t="s">
        <v>4</v>
      </c>
      <c r="P9" s="16" t="s">
        <v>4</v>
      </c>
      <c r="Q9" s="16" t="s">
        <v>4</v>
      </c>
      <c r="R9" s="16" t="s">
        <v>4</v>
      </c>
      <c r="S9" s="16"/>
      <c r="T9" s="104"/>
      <c r="U9" s="16" t="s">
        <v>4</v>
      </c>
      <c r="V9" s="16" t="s">
        <v>4</v>
      </c>
      <c r="W9" s="16"/>
      <c r="X9" s="40"/>
      <c r="Y9" s="16" t="s">
        <v>4</v>
      </c>
      <c r="Z9" s="16" t="s">
        <v>4</v>
      </c>
      <c r="AA9" s="16" t="s">
        <v>4</v>
      </c>
      <c r="AB9" s="16"/>
      <c r="AC9" s="16"/>
      <c r="AD9" s="16" t="s">
        <v>4</v>
      </c>
      <c r="AE9" s="40"/>
      <c r="AF9" s="40"/>
      <c r="AG9" s="40"/>
      <c r="AH9" s="16" t="s">
        <v>4</v>
      </c>
      <c r="AI9" s="16"/>
      <c r="AJ9" s="16"/>
      <c r="AK9" s="16"/>
      <c r="AL9" s="16"/>
      <c r="AM9" s="17" t="s">
        <v>4</v>
      </c>
      <c r="AN9" s="16"/>
      <c r="AO9" s="16" t="s">
        <v>4</v>
      </c>
      <c r="AP9" s="17"/>
      <c r="AQ9" s="16" t="s">
        <v>4</v>
      </c>
      <c r="AR9" s="17" t="s">
        <v>4</v>
      </c>
      <c r="AS9" s="17"/>
      <c r="AT9" s="16" t="s">
        <v>4</v>
      </c>
      <c r="AU9" s="107"/>
      <c r="AV9" s="16"/>
      <c r="AW9" s="107"/>
      <c r="AX9" s="16"/>
      <c r="AY9" s="16"/>
      <c r="AZ9" s="16" t="s">
        <v>4</v>
      </c>
      <c r="BA9" s="16" t="s">
        <v>4</v>
      </c>
      <c r="BB9" s="107"/>
      <c r="BC9" s="107"/>
      <c r="BD9" s="16"/>
      <c r="BE9" s="16"/>
      <c r="BF9" s="16"/>
      <c r="BG9" s="16"/>
      <c r="BH9" s="16"/>
      <c r="BI9" s="16"/>
      <c r="BJ9" s="16"/>
      <c r="BK9" s="16"/>
      <c r="BL9" s="16"/>
    </row>
    <row r="10">
      <c r="A10" s="15"/>
      <c r="B10" s="19" t="s">
        <v>138</v>
      </c>
      <c r="C10" s="17" t="s">
        <v>2</v>
      </c>
      <c r="D10" s="16" t="s">
        <v>4</v>
      </c>
      <c r="E10" s="104"/>
      <c r="F10" s="16" t="s">
        <v>4</v>
      </c>
      <c r="G10" s="16" t="s">
        <v>4</v>
      </c>
      <c r="H10" s="104"/>
      <c r="I10" s="16" t="s">
        <v>4</v>
      </c>
      <c r="J10" s="16" t="s">
        <v>4</v>
      </c>
      <c r="K10" s="16" t="s">
        <v>4</v>
      </c>
      <c r="L10" s="16" t="s">
        <v>4</v>
      </c>
      <c r="M10" s="16"/>
      <c r="N10" s="16" t="s">
        <v>4</v>
      </c>
      <c r="O10" s="16" t="s">
        <v>4</v>
      </c>
      <c r="P10" s="16" t="s">
        <v>4</v>
      </c>
      <c r="Q10" s="16"/>
      <c r="R10" s="16"/>
      <c r="S10" s="16" t="s">
        <v>4</v>
      </c>
      <c r="T10" s="104"/>
      <c r="U10" s="16" t="s">
        <v>4</v>
      </c>
      <c r="V10" s="16" t="s">
        <v>4</v>
      </c>
      <c r="W10" s="16"/>
      <c r="X10" s="40"/>
      <c r="Y10" s="16" t="s">
        <v>4</v>
      </c>
      <c r="Z10" s="16"/>
      <c r="AA10" s="16" t="s">
        <v>4</v>
      </c>
      <c r="AB10" s="16" t="s">
        <v>4</v>
      </c>
      <c r="AC10" s="16"/>
      <c r="AD10" s="16" t="s">
        <v>4</v>
      </c>
      <c r="AE10" s="40"/>
      <c r="AF10" s="40"/>
      <c r="AG10" s="40"/>
      <c r="AH10" s="16" t="s">
        <v>4</v>
      </c>
      <c r="AI10" s="16" t="s">
        <v>4</v>
      </c>
      <c r="AJ10" s="16" t="s">
        <v>4</v>
      </c>
      <c r="AK10" s="16" t="s">
        <v>4</v>
      </c>
      <c r="AL10" s="16" t="s">
        <v>4</v>
      </c>
      <c r="AM10" s="17" t="s">
        <v>4</v>
      </c>
      <c r="AN10" s="16" t="s">
        <v>4</v>
      </c>
      <c r="AO10" s="16" t="s">
        <v>4</v>
      </c>
      <c r="AP10" s="17" t="s">
        <v>4</v>
      </c>
      <c r="AQ10" s="16" t="s">
        <v>4</v>
      </c>
      <c r="AR10" s="17" t="s">
        <v>4</v>
      </c>
      <c r="AS10" s="17" t="s">
        <v>4</v>
      </c>
      <c r="AT10" s="16" t="s">
        <v>4</v>
      </c>
      <c r="AU10" s="107"/>
      <c r="AV10" s="16"/>
      <c r="AW10" s="107"/>
      <c r="AX10" s="16"/>
      <c r="AY10" s="16"/>
      <c r="AZ10" s="16" t="s">
        <v>4</v>
      </c>
      <c r="BA10" s="16" t="s">
        <v>4</v>
      </c>
      <c r="BB10" s="107"/>
      <c r="BC10" s="107"/>
      <c r="BD10" s="16"/>
      <c r="BE10" s="16"/>
      <c r="BF10" s="16"/>
      <c r="BG10" s="16"/>
      <c r="BH10" s="16"/>
      <c r="BI10" s="16"/>
      <c r="BJ10" s="16"/>
      <c r="BK10" s="16"/>
      <c r="BL10" s="16"/>
    </row>
    <row r="11">
      <c r="A11" s="15"/>
      <c r="B11" s="19" t="s">
        <v>14</v>
      </c>
      <c r="C11" s="17" t="s">
        <v>2</v>
      </c>
      <c r="D11" s="16" t="s">
        <v>4</v>
      </c>
      <c r="E11" s="104"/>
      <c r="F11" s="16" t="s">
        <v>4</v>
      </c>
      <c r="G11" s="16" t="s">
        <v>4</v>
      </c>
      <c r="H11" s="104"/>
      <c r="I11" s="16"/>
      <c r="J11" s="16" t="s">
        <v>4</v>
      </c>
      <c r="K11" s="16" t="s">
        <v>4</v>
      </c>
      <c r="L11" s="20"/>
      <c r="M11" s="16" t="s">
        <v>4</v>
      </c>
      <c r="N11" s="16" t="s">
        <v>4</v>
      </c>
      <c r="O11" s="16" t="s">
        <v>4</v>
      </c>
      <c r="P11" s="16" t="s">
        <v>4</v>
      </c>
      <c r="Q11" s="16" t="s">
        <v>4</v>
      </c>
      <c r="R11" s="16" t="s">
        <v>4</v>
      </c>
      <c r="S11" s="16" t="s">
        <v>4</v>
      </c>
      <c r="T11" s="104"/>
      <c r="U11" s="16" t="s">
        <v>4</v>
      </c>
      <c r="V11" s="16" t="s">
        <v>4</v>
      </c>
      <c r="W11" s="16" t="s">
        <v>4</v>
      </c>
      <c r="X11" s="40"/>
      <c r="Y11" s="16"/>
      <c r="Z11" s="16"/>
      <c r="AA11" s="20"/>
      <c r="AB11" s="16" t="s">
        <v>4</v>
      </c>
      <c r="AC11" s="16" t="s">
        <v>4</v>
      </c>
      <c r="AD11" s="16" t="s">
        <v>4</v>
      </c>
      <c r="AE11" s="43"/>
      <c r="AF11" s="40"/>
      <c r="AG11" s="40"/>
      <c r="AH11" s="16" t="s">
        <v>4</v>
      </c>
      <c r="AI11" s="16"/>
      <c r="AJ11" s="16" t="s">
        <v>4</v>
      </c>
      <c r="AK11" s="16" t="s">
        <v>4</v>
      </c>
      <c r="AL11" s="16" t="s">
        <v>4</v>
      </c>
      <c r="AM11" s="17" t="s">
        <v>4</v>
      </c>
      <c r="AN11" s="16" t="s">
        <v>4</v>
      </c>
      <c r="AO11" s="16" t="s">
        <v>4</v>
      </c>
      <c r="AP11" s="17" t="s">
        <v>4</v>
      </c>
      <c r="AQ11" s="16" t="s">
        <v>4</v>
      </c>
      <c r="AR11" s="17" t="s">
        <v>4</v>
      </c>
      <c r="AS11" s="17" t="s">
        <v>4</v>
      </c>
      <c r="AT11" s="16" t="s">
        <v>4</v>
      </c>
      <c r="AU11" s="107"/>
      <c r="AV11" s="16"/>
      <c r="AW11" s="107"/>
      <c r="AX11" s="16"/>
      <c r="AY11" s="16"/>
      <c r="AZ11" s="16" t="s">
        <v>4</v>
      </c>
      <c r="BA11" s="16" t="s">
        <v>4</v>
      </c>
      <c r="BB11" s="107"/>
      <c r="BC11" s="107"/>
      <c r="BD11" s="16"/>
      <c r="BE11" s="16"/>
      <c r="BF11" s="16"/>
      <c r="BG11" s="16"/>
      <c r="BH11" s="16"/>
      <c r="BI11" s="16"/>
      <c r="BJ11" s="16"/>
      <c r="BK11" s="16"/>
      <c r="BL11" s="16"/>
    </row>
    <row r="12">
      <c r="A12" s="15"/>
      <c r="B12" s="19" t="s">
        <v>139</v>
      </c>
      <c r="C12" s="17" t="s">
        <v>2</v>
      </c>
      <c r="D12" s="16"/>
      <c r="E12" s="104"/>
      <c r="F12" s="16"/>
      <c r="G12" s="16"/>
      <c r="H12" s="104"/>
      <c r="I12" s="16"/>
      <c r="J12" s="16"/>
      <c r="K12" s="16"/>
      <c r="L12" s="16"/>
      <c r="M12" s="16"/>
      <c r="N12" s="16"/>
      <c r="O12" s="20"/>
      <c r="P12" s="16" t="s">
        <v>4</v>
      </c>
      <c r="Q12" s="16"/>
      <c r="R12" s="16"/>
      <c r="S12" s="16" t="s">
        <v>4</v>
      </c>
      <c r="T12" s="104"/>
      <c r="U12" s="16" t="s">
        <v>4</v>
      </c>
      <c r="V12" s="20"/>
      <c r="W12" s="16"/>
      <c r="X12" s="40"/>
      <c r="Y12" s="16" t="s">
        <v>4</v>
      </c>
      <c r="Z12" s="20"/>
      <c r="AA12" s="16" t="s">
        <v>4</v>
      </c>
      <c r="AB12" s="16"/>
      <c r="AC12" s="16" t="s">
        <v>4</v>
      </c>
      <c r="AD12" s="16"/>
      <c r="AE12" s="40"/>
      <c r="AF12" s="40"/>
      <c r="AG12" s="40"/>
      <c r="AH12" s="16" t="s">
        <v>4</v>
      </c>
      <c r="AI12" s="16" t="s">
        <v>4</v>
      </c>
      <c r="AJ12" s="16"/>
      <c r="AK12" s="16"/>
      <c r="AL12" s="16"/>
      <c r="AM12" s="17" t="s">
        <v>4</v>
      </c>
      <c r="AN12" s="16"/>
      <c r="AO12" s="16" t="s">
        <v>4</v>
      </c>
      <c r="AP12" s="17"/>
      <c r="AQ12" s="16"/>
      <c r="AR12" s="17"/>
      <c r="AS12" s="17" t="s">
        <v>4</v>
      </c>
      <c r="AT12" s="16"/>
      <c r="AU12" s="107"/>
      <c r="AV12" s="16"/>
      <c r="AW12" s="107"/>
      <c r="AX12" s="16"/>
      <c r="AY12" s="16"/>
      <c r="AZ12" s="16"/>
      <c r="BA12" s="16" t="s">
        <v>4</v>
      </c>
      <c r="BB12" s="107"/>
      <c r="BC12" s="107"/>
      <c r="BD12" s="16"/>
      <c r="BE12" s="16"/>
      <c r="BF12" s="16"/>
      <c r="BG12" s="16"/>
      <c r="BH12" s="16"/>
      <c r="BI12" s="16"/>
      <c r="BJ12" s="16"/>
      <c r="BK12" s="16"/>
      <c r="BL12" s="16"/>
    </row>
    <row r="13">
      <c r="A13" s="15"/>
      <c r="B13" s="19" t="s">
        <v>140</v>
      </c>
      <c r="C13" s="17" t="s">
        <v>2</v>
      </c>
      <c r="D13" s="16"/>
      <c r="E13" s="104"/>
      <c r="F13" s="16"/>
      <c r="G13" s="16"/>
      <c r="H13" s="104"/>
      <c r="I13" s="16"/>
      <c r="J13" s="16"/>
      <c r="K13" s="16"/>
      <c r="L13" s="16"/>
      <c r="M13" s="16" t="s">
        <v>4</v>
      </c>
      <c r="N13" s="16"/>
      <c r="O13" s="20"/>
      <c r="P13" s="16"/>
      <c r="Q13" s="16"/>
      <c r="R13" s="16" t="s">
        <v>4</v>
      </c>
      <c r="S13" s="16"/>
      <c r="T13" s="104"/>
      <c r="U13" s="16"/>
      <c r="V13" s="16" t="s">
        <v>4</v>
      </c>
      <c r="W13" s="16"/>
      <c r="X13" s="40"/>
      <c r="Y13" s="16"/>
      <c r="Z13" s="16" t="s">
        <v>4</v>
      </c>
      <c r="AA13" s="16"/>
      <c r="AB13" s="16" t="s">
        <v>4</v>
      </c>
      <c r="AC13" s="16"/>
      <c r="AD13" s="16"/>
      <c r="AE13" s="40"/>
      <c r="AF13" s="40"/>
      <c r="AG13" s="40"/>
      <c r="AH13" s="16" t="s">
        <v>4</v>
      </c>
      <c r="AI13" s="16"/>
      <c r="AJ13" s="16" t="s">
        <v>4</v>
      </c>
      <c r="AK13" s="16" t="s">
        <v>4</v>
      </c>
      <c r="AL13" s="16" t="s">
        <v>4</v>
      </c>
      <c r="AM13" s="17"/>
      <c r="AN13" s="16"/>
      <c r="AO13" s="16"/>
      <c r="AP13" s="17" t="s">
        <v>4</v>
      </c>
      <c r="AQ13" s="16"/>
      <c r="AR13" s="17"/>
      <c r="AS13" s="17"/>
      <c r="AT13" s="16"/>
      <c r="AU13" s="107"/>
      <c r="AV13" s="16"/>
      <c r="AW13" s="107"/>
      <c r="AX13" s="16"/>
      <c r="AY13" s="16"/>
      <c r="AZ13" s="16"/>
      <c r="BA13" s="16"/>
      <c r="BB13" s="107"/>
      <c r="BC13" s="107"/>
      <c r="BD13" s="16"/>
      <c r="BE13" s="16"/>
      <c r="BF13" s="16"/>
      <c r="BG13" s="16"/>
      <c r="BH13" s="16"/>
      <c r="BI13" s="16"/>
      <c r="BJ13" s="16"/>
      <c r="BK13" s="16"/>
      <c r="BL13" s="16"/>
    </row>
    <row r="14">
      <c r="A14" s="15"/>
      <c r="B14" s="19" t="s">
        <v>17</v>
      </c>
      <c r="C14" s="17" t="s">
        <v>2</v>
      </c>
      <c r="D14" s="16" t="s">
        <v>4</v>
      </c>
      <c r="E14" s="104"/>
      <c r="F14" s="16"/>
      <c r="G14" s="16" t="s">
        <v>4</v>
      </c>
      <c r="H14" s="104"/>
      <c r="I14" s="16"/>
      <c r="J14" s="16" t="s">
        <v>4</v>
      </c>
      <c r="K14" s="16" t="s">
        <v>4</v>
      </c>
      <c r="L14" s="16"/>
      <c r="M14" s="16" t="s">
        <v>4</v>
      </c>
      <c r="N14" s="16" t="s">
        <v>4</v>
      </c>
      <c r="O14" s="16" t="s">
        <v>4</v>
      </c>
      <c r="P14" s="16" t="s">
        <v>4</v>
      </c>
      <c r="Q14" s="16" t="s">
        <v>4</v>
      </c>
      <c r="R14" s="16" t="s">
        <v>4</v>
      </c>
      <c r="S14" s="16" t="s">
        <v>4</v>
      </c>
      <c r="T14" s="104"/>
      <c r="U14" s="16" t="s">
        <v>4</v>
      </c>
      <c r="V14" s="16"/>
      <c r="W14" s="16" t="s">
        <v>4</v>
      </c>
      <c r="X14" s="40"/>
      <c r="Y14" s="16"/>
      <c r="Z14" s="16"/>
      <c r="AA14" s="20"/>
      <c r="AB14" s="16"/>
      <c r="AC14" s="16" t="s">
        <v>4</v>
      </c>
      <c r="AD14" s="16" t="s">
        <v>4</v>
      </c>
      <c r="AE14" s="40"/>
      <c r="AF14" s="40"/>
      <c r="AG14" s="40"/>
      <c r="AH14" s="16"/>
      <c r="AI14" s="16"/>
      <c r="AJ14" s="16" t="s">
        <v>4</v>
      </c>
      <c r="AK14" s="16" t="s">
        <v>4</v>
      </c>
      <c r="AL14" s="16"/>
      <c r="AM14" s="17"/>
      <c r="AN14" s="16" t="s">
        <v>4</v>
      </c>
      <c r="AO14" s="16" t="s">
        <v>4</v>
      </c>
      <c r="AP14" s="17"/>
      <c r="AQ14" s="16" t="s">
        <v>4</v>
      </c>
      <c r="AR14" s="17" t="s">
        <v>4</v>
      </c>
      <c r="AS14" s="17" t="s">
        <v>4</v>
      </c>
      <c r="AT14" s="16"/>
      <c r="AU14" s="107"/>
      <c r="AV14" s="16"/>
      <c r="AW14" s="107"/>
      <c r="AX14" s="16"/>
      <c r="AY14" s="16"/>
      <c r="AZ14" s="16"/>
      <c r="BA14" s="16"/>
      <c r="BB14" s="107"/>
      <c r="BC14" s="107"/>
      <c r="BD14" s="16"/>
      <c r="BE14" s="16"/>
      <c r="BF14" s="16"/>
      <c r="BG14" s="16"/>
      <c r="BH14" s="16"/>
      <c r="BI14" s="16"/>
      <c r="BJ14" s="16"/>
      <c r="BK14" s="16"/>
      <c r="BL14" s="16"/>
    </row>
    <row r="15">
      <c r="A15" s="15"/>
      <c r="B15" s="19" t="s">
        <v>101</v>
      </c>
      <c r="C15" s="17" t="s">
        <v>2</v>
      </c>
      <c r="D15" s="16"/>
      <c r="E15" s="105"/>
      <c r="F15" s="16"/>
      <c r="G15" s="20"/>
      <c r="H15" s="104"/>
      <c r="I15" s="20"/>
      <c r="J15" s="16"/>
      <c r="K15" s="20"/>
      <c r="L15" s="16"/>
      <c r="M15" s="16"/>
      <c r="N15" s="20"/>
      <c r="O15" s="16"/>
      <c r="P15" s="20"/>
      <c r="Q15" s="20"/>
      <c r="R15" s="16"/>
      <c r="S15" s="16"/>
      <c r="T15" s="105"/>
      <c r="U15" s="16"/>
      <c r="V15" s="20"/>
      <c r="W15" s="20"/>
      <c r="X15" s="43"/>
      <c r="Y15" s="20"/>
      <c r="Z15" s="20"/>
      <c r="AA15" s="20"/>
      <c r="AB15" s="20"/>
      <c r="AC15" s="20"/>
      <c r="AD15" s="20"/>
      <c r="AE15" s="43"/>
      <c r="AF15" s="43"/>
      <c r="AG15" s="43"/>
      <c r="AH15" s="20"/>
      <c r="AI15" s="20"/>
      <c r="AJ15" s="20"/>
      <c r="AK15" s="20"/>
      <c r="AL15" s="20"/>
      <c r="AM15" s="42"/>
      <c r="AN15" s="20"/>
      <c r="AO15" s="20"/>
      <c r="AP15" s="42"/>
      <c r="AQ15" s="20"/>
      <c r="AR15" s="42"/>
      <c r="AS15" s="42"/>
      <c r="AT15" s="20"/>
      <c r="AU15" s="106"/>
      <c r="AV15" s="20"/>
      <c r="AW15" s="106"/>
      <c r="AX15" s="20"/>
      <c r="AY15" s="20"/>
      <c r="AZ15" s="20"/>
      <c r="BA15" s="20"/>
      <c r="BB15" s="106"/>
      <c r="BC15" s="106"/>
      <c r="BD15" s="20"/>
      <c r="BE15" s="20"/>
      <c r="BF15" s="20"/>
      <c r="BG15" s="20"/>
      <c r="BH15" s="20"/>
      <c r="BI15" s="20"/>
      <c r="BJ15" s="20"/>
      <c r="BK15" s="20"/>
      <c r="BL15" s="20"/>
    </row>
    <row r="16">
      <c r="A16" s="15"/>
      <c r="B16" s="19" t="s">
        <v>102</v>
      </c>
      <c r="C16" s="17" t="s">
        <v>2</v>
      </c>
      <c r="D16" s="16"/>
      <c r="E16" s="105"/>
      <c r="F16" s="16"/>
      <c r="G16" s="20"/>
      <c r="H16" s="105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105"/>
      <c r="U16" s="16"/>
      <c r="V16" s="20"/>
      <c r="W16" s="20"/>
      <c r="X16" s="43"/>
      <c r="Y16" s="20"/>
      <c r="Z16" s="20"/>
      <c r="AA16" s="20"/>
      <c r="AB16" s="20"/>
      <c r="AC16" s="20"/>
      <c r="AD16" s="20"/>
      <c r="AE16" s="43"/>
      <c r="AF16" s="43"/>
      <c r="AG16" s="43"/>
      <c r="AH16" s="20"/>
      <c r="AI16" s="20"/>
      <c r="AJ16" s="20"/>
      <c r="AK16" s="20"/>
      <c r="AL16" s="20"/>
      <c r="AM16" s="42"/>
      <c r="AN16" s="20"/>
      <c r="AO16" s="20"/>
      <c r="AP16" s="42"/>
      <c r="AQ16" s="20"/>
      <c r="AR16" s="42"/>
      <c r="AS16" s="42"/>
      <c r="AT16" s="20"/>
      <c r="AU16" s="106"/>
      <c r="AV16" s="20"/>
      <c r="AW16" s="106"/>
      <c r="AX16" s="20"/>
      <c r="AY16" s="20"/>
      <c r="AZ16" s="20"/>
      <c r="BA16" s="20"/>
      <c r="BB16" s="106"/>
      <c r="BC16" s="106"/>
      <c r="BD16" s="20"/>
      <c r="BE16" s="20"/>
      <c r="BF16" s="20"/>
      <c r="BG16" s="20"/>
      <c r="BH16" s="20"/>
      <c r="BI16" s="20"/>
      <c r="BJ16" s="20"/>
      <c r="BK16" s="20"/>
      <c r="BL16" s="20"/>
    </row>
    <row r="17">
      <c r="A17" s="15"/>
      <c r="B17" s="92" t="s">
        <v>117</v>
      </c>
      <c r="C17" s="17" t="s">
        <v>2</v>
      </c>
      <c r="D17" s="16" t="s">
        <v>4</v>
      </c>
      <c r="E17" s="104"/>
      <c r="F17" s="16"/>
      <c r="G17" s="16"/>
      <c r="H17" s="105"/>
      <c r="I17" s="20"/>
      <c r="J17" s="16"/>
      <c r="K17" s="16"/>
      <c r="L17" s="16"/>
      <c r="M17" s="16"/>
      <c r="N17" s="20"/>
      <c r="O17" s="16"/>
      <c r="P17" s="16"/>
      <c r="Q17" s="16"/>
      <c r="R17" s="20"/>
      <c r="S17" s="20"/>
      <c r="T17" s="105"/>
      <c r="U17" s="20"/>
      <c r="V17" s="20"/>
      <c r="W17" s="20"/>
      <c r="X17" s="43"/>
      <c r="Y17" s="20"/>
      <c r="Z17" s="20"/>
      <c r="AA17" s="20"/>
      <c r="AB17" s="20"/>
      <c r="AC17" s="20"/>
      <c r="AD17" s="20"/>
      <c r="AE17" s="43"/>
      <c r="AF17" s="43"/>
      <c r="AG17" s="43"/>
      <c r="AH17" s="20"/>
      <c r="AI17" s="20"/>
      <c r="AJ17" s="20"/>
      <c r="AK17" s="20"/>
      <c r="AL17" s="20"/>
      <c r="AM17" s="42"/>
      <c r="AN17" s="20"/>
      <c r="AO17" s="20"/>
      <c r="AP17" s="42"/>
      <c r="AQ17" s="20"/>
      <c r="AR17" s="17" t="s">
        <v>4</v>
      </c>
      <c r="AS17" s="17" t="s">
        <v>4</v>
      </c>
      <c r="AT17" s="20"/>
      <c r="AU17" s="106"/>
      <c r="AV17" s="20"/>
      <c r="AW17" s="106"/>
      <c r="AX17" s="20"/>
      <c r="AY17" s="20"/>
      <c r="AZ17" s="20"/>
      <c r="BA17" s="20"/>
      <c r="BB17" s="106"/>
      <c r="BC17" s="106"/>
      <c r="BD17" s="20"/>
      <c r="BE17" s="20"/>
      <c r="BF17" s="20"/>
      <c r="BG17" s="20"/>
      <c r="BH17" s="20"/>
      <c r="BI17" s="20"/>
      <c r="BJ17" s="20"/>
      <c r="BK17" s="20"/>
      <c r="BL17" s="20"/>
    </row>
    <row r="18">
      <c r="A18" s="15"/>
      <c r="B18" s="92" t="s">
        <v>141</v>
      </c>
      <c r="C18" s="17" t="s">
        <v>2</v>
      </c>
      <c r="D18" s="20"/>
      <c r="E18" s="105"/>
      <c r="F18" s="20"/>
      <c r="G18" s="20"/>
      <c r="H18" s="105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105"/>
      <c r="U18" s="20"/>
      <c r="V18" s="20"/>
      <c r="W18" s="20"/>
      <c r="X18" s="43"/>
      <c r="Y18" s="20"/>
      <c r="Z18" s="20"/>
      <c r="AA18" s="20"/>
      <c r="AB18" s="20"/>
      <c r="AC18" s="20"/>
      <c r="AD18" s="20"/>
      <c r="AE18" s="43"/>
      <c r="AF18" s="43"/>
      <c r="AG18" s="43"/>
      <c r="AH18" s="20"/>
      <c r="AI18" s="20"/>
      <c r="AJ18" s="20"/>
      <c r="AK18" s="20"/>
      <c r="AL18" s="20"/>
      <c r="AM18" s="42"/>
      <c r="AN18" s="20"/>
      <c r="AO18" s="20"/>
      <c r="AP18" s="42"/>
      <c r="AQ18" s="20"/>
      <c r="AR18" s="42"/>
      <c r="AS18" s="42"/>
      <c r="AT18" s="20"/>
      <c r="AU18" s="106"/>
      <c r="AV18" s="20"/>
      <c r="AW18" s="106"/>
      <c r="AX18" s="20"/>
      <c r="AY18" s="20"/>
      <c r="AZ18" s="20"/>
      <c r="BA18" s="20"/>
      <c r="BB18" s="106"/>
      <c r="BC18" s="106"/>
      <c r="BD18" s="20"/>
      <c r="BE18" s="20"/>
      <c r="BF18" s="20"/>
      <c r="BG18" s="20"/>
      <c r="BH18" s="20"/>
      <c r="BI18" s="20"/>
      <c r="BJ18" s="20"/>
      <c r="BK18" s="20"/>
      <c r="BL18" s="20"/>
    </row>
    <row r="19">
      <c r="A19" s="15"/>
      <c r="B19" s="19" t="s">
        <v>103</v>
      </c>
      <c r="C19" s="17" t="s">
        <v>2</v>
      </c>
      <c r="D19" s="16" t="s">
        <v>4</v>
      </c>
      <c r="E19" s="104"/>
      <c r="F19" s="16" t="s">
        <v>4</v>
      </c>
      <c r="G19" s="16"/>
      <c r="H19" s="104"/>
      <c r="I19" s="16"/>
      <c r="J19" s="16"/>
      <c r="K19" s="16" t="s">
        <v>4</v>
      </c>
      <c r="L19" s="16"/>
      <c r="M19" s="16"/>
      <c r="N19" s="16"/>
      <c r="O19" s="20"/>
      <c r="P19" s="20"/>
      <c r="Q19" s="16"/>
      <c r="R19" s="16"/>
      <c r="S19" s="16" t="s">
        <v>4</v>
      </c>
      <c r="T19" s="105"/>
      <c r="U19" s="16" t="s">
        <v>4</v>
      </c>
      <c r="V19" s="16"/>
      <c r="W19" s="16" t="s">
        <v>4</v>
      </c>
      <c r="X19" s="43"/>
      <c r="Y19" s="20"/>
      <c r="Z19" s="16" t="s">
        <v>4</v>
      </c>
      <c r="AA19" s="16" t="s">
        <v>4</v>
      </c>
      <c r="AB19" s="20"/>
      <c r="AC19" s="20"/>
      <c r="AD19" s="20"/>
      <c r="AE19" s="43"/>
      <c r="AF19" s="40"/>
      <c r="AG19" s="40"/>
      <c r="AH19" s="16"/>
      <c r="AI19" s="16"/>
      <c r="AJ19" s="16"/>
      <c r="AK19" s="16"/>
      <c r="AL19" s="16"/>
      <c r="AM19" s="17" t="s">
        <v>4</v>
      </c>
      <c r="AN19" s="16"/>
      <c r="AO19" s="16"/>
      <c r="AP19" s="17" t="s">
        <v>4</v>
      </c>
      <c r="AQ19" s="16"/>
      <c r="AR19" s="17"/>
      <c r="AS19" s="17"/>
      <c r="AT19" s="16"/>
      <c r="AU19" s="107"/>
      <c r="AV19" s="16"/>
      <c r="AW19" s="107"/>
      <c r="AX19" s="16"/>
      <c r="AY19" s="16"/>
      <c r="AZ19" s="16"/>
      <c r="BA19" s="16"/>
      <c r="BB19" s="107"/>
      <c r="BC19" s="107"/>
      <c r="BD19" s="16"/>
      <c r="BE19" s="16"/>
      <c r="BF19" s="16"/>
      <c r="BG19" s="16"/>
      <c r="BH19" s="16"/>
      <c r="BI19" s="16"/>
      <c r="BJ19" s="16"/>
      <c r="BK19" s="16"/>
      <c r="BL19" s="16"/>
    </row>
    <row r="20">
      <c r="A20" s="15"/>
      <c r="B20" s="19" t="s">
        <v>104</v>
      </c>
      <c r="C20" s="17" t="s">
        <v>2</v>
      </c>
      <c r="D20" s="16" t="s">
        <v>4</v>
      </c>
      <c r="E20" s="104"/>
      <c r="F20" s="16"/>
      <c r="G20" s="16"/>
      <c r="H20" s="104"/>
      <c r="I20" s="16" t="s">
        <v>4</v>
      </c>
      <c r="J20" s="16"/>
      <c r="K20" s="16" t="s">
        <v>4</v>
      </c>
      <c r="L20" s="16"/>
      <c r="M20" s="16"/>
      <c r="N20" s="16" t="s">
        <v>4</v>
      </c>
      <c r="O20" s="20"/>
      <c r="P20" s="16" t="s">
        <v>4</v>
      </c>
      <c r="Q20" s="20"/>
      <c r="R20" s="16"/>
      <c r="S20" s="16" t="s">
        <v>4</v>
      </c>
      <c r="T20" s="104"/>
      <c r="U20" s="16" t="s">
        <v>4</v>
      </c>
      <c r="V20" s="16" t="s">
        <v>4</v>
      </c>
      <c r="W20" s="16" t="s">
        <v>4</v>
      </c>
      <c r="X20" s="40"/>
      <c r="Y20" s="20"/>
      <c r="Z20" s="16" t="s">
        <v>4</v>
      </c>
      <c r="AA20" s="16" t="s">
        <v>4</v>
      </c>
      <c r="AB20" s="20"/>
      <c r="AC20" s="16"/>
      <c r="AD20" s="16"/>
      <c r="AE20" s="40"/>
      <c r="AF20" s="40"/>
      <c r="AG20" s="40"/>
      <c r="AH20" s="16"/>
      <c r="AI20" s="16" t="s">
        <v>4</v>
      </c>
      <c r="AJ20" s="16"/>
      <c r="AK20" s="16"/>
      <c r="AL20" s="16"/>
      <c r="AM20" s="17" t="s">
        <v>4</v>
      </c>
      <c r="AN20" s="16"/>
      <c r="AO20" s="16" t="s">
        <v>4</v>
      </c>
      <c r="AP20" s="17" t="s">
        <v>4</v>
      </c>
      <c r="AQ20" s="16"/>
      <c r="AR20" s="17"/>
      <c r="AS20" s="17"/>
      <c r="AT20" s="16" t="s">
        <v>4</v>
      </c>
      <c r="AU20" s="107"/>
      <c r="AV20" s="16"/>
      <c r="AW20" s="107"/>
      <c r="AX20" s="16"/>
      <c r="AY20" s="16"/>
      <c r="AZ20" s="16"/>
      <c r="BA20" s="16" t="s">
        <v>4</v>
      </c>
      <c r="BB20" s="107"/>
      <c r="BC20" s="107"/>
      <c r="BD20" s="16"/>
      <c r="BE20" s="16"/>
      <c r="BF20" s="16"/>
      <c r="BG20" s="16"/>
      <c r="BH20" s="16"/>
      <c r="BI20" s="16"/>
      <c r="BJ20" s="16"/>
      <c r="BK20" s="16"/>
      <c r="BL20" s="16"/>
    </row>
    <row r="21">
      <c r="A21" s="15"/>
      <c r="B21" s="19" t="s">
        <v>19</v>
      </c>
      <c r="C21" s="17" t="s">
        <v>2</v>
      </c>
      <c r="D21" s="16" t="s">
        <v>4</v>
      </c>
      <c r="E21" s="104"/>
      <c r="F21" s="16" t="s">
        <v>4</v>
      </c>
      <c r="G21" s="16" t="s">
        <v>4</v>
      </c>
      <c r="H21" s="104"/>
      <c r="I21" s="16" t="s">
        <v>4</v>
      </c>
      <c r="J21" s="16"/>
      <c r="K21" s="16"/>
      <c r="L21" s="16" t="s">
        <v>4</v>
      </c>
      <c r="M21" s="16"/>
      <c r="N21" s="16" t="s">
        <v>4</v>
      </c>
      <c r="O21" s="16"/>
      <c r="P21" s="16" t="s">
        <v>4</v>
      </c>
      <c r="Q21" s="16"/>
      <c r="R21" s="16" t="s">
        <v>4</v>
      </c>
      <c r="S21" s="16"/>
      <c r="T21" s="104"/>
      <c r="U21" s="16" t="s">
        <v>4</v>
      </c>
      <c r="V21" s="16" t="s">
        <v>4</v>
      </c>
      <c r="W21" s="16" t="s">
        <v>4</v>
      </c>
      <c r="X21" s="40"/>
      <c r="Y21" s="16" t="s">
        <v>4</v>
      </c>
      <c r="Z21" s="16"/>
      <c r="AA21" s="16"/>
      <c r="AB21" s="16" t="s">
        <v>4</v>
      </c>
      <c r="AC21" s="16" t="s">
        <v>4</v>
      </c>
      <c r="AD21" s="16" t="s">
        <v>4</v>
      </c>
      <c r="AE21" s="40"/>
      <c r="AF21" s="40"/>
      <c r="AG21" s="40"/>
      <c r="AH21" s="16" t="s">
        <v>4</v>
      </c>
      <c r="AI21" s="16" t="s">
        <v>4</v>
      </c>
      <c r="AJ21" s="16" t="s">
        <v>4</v>
      </c>
      <c r="AK21" s="16" t="s">
        <v>4</v>
      </c>
      <c r="AL21" s="16" t="s">
        <v>4</v>
      </c>
      <c r="AM21" s="17" t="s">
        <v>4</v>
      </c>
      <c r="AN21" s="16" t="s">
        <v>4</v>
      </c>
      <c r="AO21" s="16"/>
      <c r="AP21" s="17" t="s">
        <v>4</v>
      </c>
      <c r="AQ21" s="16"/>
      <c r="AR21" s="17"/>
      <c r="AS21" s="17" t="s">
        <v>4</v>
      </c>
      <c r="AT21" s="16" t="s">
        <v>4</v>
      </c>
      <c r="AU21" s="107"/>
      <c r="AV21" s="16"/>
      <c r="AW21" s="107"/>
      <c r="AX21" s="16"/>
      <c r="AY21" s="16"/>
      <c r="AZ21" s="16" t="s">
        <v>4</v>
      </c>
      <c r="BA21" s="16" t="s">
        <v>4</v>
      </c>
      <c r="BB21" s="107"/>
      <c r="BC21" s="107"/>
      <c r="BD21" s="16"/>
      <c r="BE21" s="16"/>
      <c r="BF21" s="16"/>
      <c r="BG21" s="16"/>
      <c r="BH21" s="16"/>
      <c r="BI21" s="16"/>
      <c r="BJ21" s="16"/>
      <c r="BK21" s="16"/>
      <c r="BL21" s="16"/>
    </row>
    <row r="22">
      <c r="A22" s="15"/>
      <c r="B22" s="19" t="s">
        <v>20</v>
      </c>
      <c r="C22" s="17" t="s">
        <v>2</v>
      </c>
      <c r="D22" s="16" t="s">
        <v>4</v>
      </c>
      <c r="E22" s="104"/>
      <c r="F22" s="16" t="s">
        <v>4</v>
      </c>
      <c r="G22" s="16" t="s">
        <v>4</v>
      </c>
      <c r="H22" s="104"/>
      <c r="I22" s="16" t="s">
        <v>4</v>
      </c>
      <c r="J22" s="16"/>
      <c r="K22" s="16"/>
      <c r="L22" s="16" t="s">
        <v>4</v>
      </c>
      <c r="M22" s="16"/>
      <c r="N22" s="16" t="s">
        <v>4</v>
      </c>
      <c r="O22" s="16" t="s">
        <v>4</v>
      </c>
      <c r="P22" s="16" t="s">
        <v>4</v>
      </c>
      <c r="Q22" s="16"/>
      <c r="R22" s="16" t="s">
        <v>4</v>
      </c>
      <c r="S22" s="16"/>
      <c r="T22" s="104"/>
      <c r="U22" s="16" t="s">
        <v>4</v>
      </c>
      <c r="V22" s="16" t="s">
        <v>4</v>
      </c>
      <c r="W22" s="16" t="s">
        <v>4</v>
      </c>
      <c r="X22" s="40"/>
      <c r="Y22" s="16"/>
      <c r="AA22" s="16"/>
      <c r="AB22" s="16" t="s">
        <v>4</v>
      </c>
      <c r="AC22" s="16" t="s">
        <v>4</v>
      </c>
      <c r="AD22" s="16" t="s">
        <v>4</v>
      </c>
      <c r="AE22" s="40"/>
      <c r="AF22" s="40"/>
      <c r="AG22" s="40"/>
      <c r="AH22" s="16" t="s">
        <v>4</v>
      </c>
      <c r="AI22" s="16" t="s">
        <v>4</v>
      </c>
      <c r="AJ22" s="16" t="s">
        <v>4</v>
      </c>
      <c r="AK22" s="16" t="s">
        <v>4</v>
      </c>
      <c r="AL22" s="16" t="s">
        <v>4</v>
      </c>
      <c r="AM22" s="17" t="s">
        <v>4</v>
      </c>
      <c r="AN22" s="16" t="s">
        <v>4</v>
      </c>
      <c r="AO22" s="16" t="s">
        <v>4</v>
      </c>
      <c r="AP22" s="17"/>
      <c r="AQ22" s="16"/>
      <c r="AR22" s="17" t="s">
        <v>4</v>
      </c>
      <c r="AS22" s="17" t="s">
        <v>4</v>
      </c>
      <c r="AT22" s="16" t="s">
        <v>4</v>
      </c>
      <c r="AU22" s="107"/>
      <c r="AV22" s="16"/>
      <c r="AW22" s="107"/>
      <c r="AX22" s="16"/>
      <c r="AY22" s="16"/>
      <c r="AZ22" s="16" t="s">
        <v>4</v>
      </c>
      <c r="BA22" s="16" t="s">
        <v>4</v>
      </c>
      <c r="BB22" s="107"/>
      <c r="BC22" s="107"/>
      <c r="BD22" s="16"/>
      <c r="BE22" s="16"/>
      <c r="BF22" s="16"/>
      <c r="BG22" s="16"/>
      <c r="BH22" s="16"/>
      <c r="BI22" s="16"/>
      <c r="BJ22" s="16"/>
      <c r="BK22" s="16"/>
      <c r="BL22" s="16"/>
    </row>
    <row r="23">
      <c r="A23" s="15"/>
      <c r="B23" s="92" t="s">
        <v>142</v>
      </c>
      <c r="C23" s="17" t="s">
        <v>2</v>
      </c>
      <c r="D23" s="16" t="s">
        <v>4</v>
      </c>
      <c r="E23" s="104"/>
      <c r="F23" s="16"/>
      <c r="G23" s="16"/>
      <c r="H23" s="104"/>
      <c r="I23" s="16"/>
      <c r="J23" s="16"/>
      <c r="K23" s="16"/>
      <c r="L23" s="16" t="s">
        <v>4</v>
      </c>
      <c r="M23" s="16"/>
      <c r="N23" s="16"/>
      <c r="O23" s="16"/>
      <c r="P23" s="16"/>
      <c r="Q23" s="16"/>
      <c r="R23" s="20"/>
      <c r="S23" s="16"/>
      <c r="T23" s="104"/>
      <c r="U23" s="16"/>
      <c r="V23" s="16"/>
      <c r="W23" s="16"/>
      <c r="X23" s="40"/>
      <c r="Y23" s="16"/>
      <c r="Z23" s="16"/>
      <c r="AA23" s="16"/>
      <c r="AB23" s="16"/>
      <c r="AC23" s="16"/>
      <c r="AD23" s="16"/>
      <c r="AE23" s="40"/>
      <c r="AF23" s="40"/>
      <c r="AG23" s="40"/>
      <c r="AH23" s="16"/>
      <c r="AI23" s="16"/>
      <c r="AJ23" s="16"/>
      <c r="AK23" s="16"/>
      <c r="AL23" s="16"/>
      <c r="AM23" s="17"/>
      <c r="AN23" s="16"/>
      <c r="AO23" s="16"/>
      <c r="AP23" s="17"/>
      <c r="AQ23" s="16"/>
      <c r="AR23" s="17"/>
      <c r="AS23" s="17"/>
      <c r="AT23" s="16"/>
      <c r="AU23" s="107"/>
      <c r="AV23" s="16"/>
      <c r="AW23" s="107"/>
      <c r="AX23" s="16"/>
      <c r="AY23" s="16"/>
      <c r="AZ23" s="16"/>
      <c r="BA23" s="16"/>
      <c r="BB23" s="107"/>
      <c r="BC23" s="107"/>
      <c r="BD23" s="16"/>
      <c r="BE23" s="16"/>
      <c r="BF23" s="16"/>
      <c r="BG23" s="16"/>
      <c r="BH23" s="16"/>
      <c r="BI23" s="16"/>
      <c r="BJ23" s="16"/>
      <c r="BK23" s="16"/>
      <c r="BL23" s="16"/>
    </row>
    <row r="24">
      <c r="A24" s="15"/>
      <c r="B24" s="92" t="s">
        <v>143</v>
      </c>
      <c r="C24" s="17" t="s">
        <v>2</v>
      </c>
      <c r="D24" s="16" t="s">
        <v>4</v>
      </c>
      <c r="E24" s="104"/>
      <c r="F24" s="16"/>
      <c r="G24" s="16"/>
      <c r="H24" s="104"/>
      <c r="I24" s="16"/>
      <c r="J24" s="16"/>
      <c r="K24" s="16"/>
      <c r="L24" s="16"/>
      <c r="M24" s="16"/>
      <c r="N24" s="20"/>
      <c r="O24" s="20"/>
      <c r="P24" s="16"/>
      <c r="Q24" s="16"/>
      <c r="R24" s="20"/>
      <c r="S24" s="16"/>
      <c r="T24" s="104"/>
      <c r="U24" s="16"/>
      <c r="V24" s="16"/>
      <c r="W24" s="16"/>
      <c r="X24" s="40"/>
      <c r="Y24" s="16"/>
      <c r="Z24" s="20"/>
      <c r="AA24" s="16"/>
      <c r="AB24" s="16"/>
      <c r="AC24" s="16"/>
      <c r="AD24" s="16"/>
      <c r="AE24" s="40"/>
      <c r="AF24" s="40"/>
      <c r="AG24" s="40"/>
      <c r="AH24" s="16"/>
      <c r="AI24" s="16"/>
      <c r="AJ24" s="16"/>
      <c r="AK24" s="16"/>
      <c r="AL24" s="16"/>
      <c r="AM24" s="17"/>
      <c r="AN24" s="16"/>
      <c r="AO24" s="16"/>
      <c r="AP24" s="17"/>
      <c r="AQ24" s="16"/>
      <c r="AR24" s="17"/>
      <c r="AS24" s="17"/>
      <c r="AT24" s="16"/>
      <c r="AU24" s="107"/>
      <c r="AV24" s="16"/>
      <c r="AW24" s="107"/>
      <c r="AX24" s="16"/>
      <c r="AY24" s="16"/>
      <c r="AZ24" s="16"/>
      <c r="BA24" s="16"/>
      <c r="BB24" s="107"/>
      <c r="BC24" s="107"/>
      <c r="BD24" s="16"/>
      <c r="BE24" s="16"/>
      <c r="BF24" s="16"/>
      <c r="BG24" s="16"/>
      <c r="BH24" s="16"/>
      <c r="BI24" s="16"/>
      <c r="BJ24" s="16"/>
      <c r="BK24" s="16"/>
      <c r="BL24" s="16"/>
    </row>
    <row r="25">
      <c r="A25" s="15"/>
      <c r="B25" s="19" t="s">
        <v>21</v>
      </c>
      <c r="C25" s="17" t="s">
        <v>2</v>
      </c>
      <c r="D25" s="16" t="s">
        <v>4</v>
      </c>
      <c r="E25" s="104"/>
      <c r="F25" s="16" t="s">
        <v>4</v>
      </c>
      <c r="G25" s="16" t="s">
        <v>4</v>
      </c>
      <c r="H25" s="104"/>
      <c r="I25" s="16" t="s">
        <v>4</v>
      </c>
      <c r="J25" s="16"/>
      <c r="K25" s="16" t="s">
        <v>4</v>
      </c>
      <c r="L25" s="16" t="s">
        <v>4</v>
      </c>
      <c r="M25" s="16"/>
      <c r="N25" s="16" t="s">
        <v>4</v>
      </c>
      <c r="O25" s="16" t="s">
        <v>4</v>
      </c>
      <c r="P25" s="16" t="s">
        <v>4</v>
      </c>
      <c r="Q25" s="16" t="s">
        <v>4</v>
      </c>
      <c r="R25" s="16" t="s">
        <v>4</v>
      </c>
      <c r="S25" s="16"/>
      <c r="T25" s="105"/>
      <c r="U25" s="16" t="s">
        <v>4</v>
      </c>
      <c r="V25" s="16" t="s">
        <v>4</v>
      </c>
      <c r="W25" s="16" t="s">
        <v>4</v>
      </c>
      <c r="X25" s="40"/>
      <c r="Y25" s="16"/>
      <c r="Z25" s="16" t="s">
        <v>4</v>
      </c>
      <c r="AA25" s="16" t="s">
        <v>4</v>
      </c>
      <c r="AB25" s="16" t="s">
        <v>4</v>
      </c>
      <c r="AC25" s="16" t="s">
        <v>4</v>
      </c>
      <c r="AD25" s="16" t="s">
        <v>4</v>
      </c>
      <c r="AE25" s="40"/>
      <c r="AF25" s="40"/>
      <c r="AG25" s="40"/>
      <c r="AH25" s="16" t="s">
        <v>4</v>
      </c>
      <c r="AI25" s="16" t="s">
        <v>4</v>
      </c>
      <c r="AJ25" s="16" t="s">
        <v>4</v>
      </c>
      <c r="AK25" s="16" t="s">
        <v>4</v>
      </c>
      <c r="AL25" s="16" t="s">
        <v>4</v>
      </c>
      <c r="AM25" s="17" t="s">
        <v>4</v>
      </c>
      <c r="AN25" s="16" t="s">
        <v>4</v>
      </c>
      <c r="AO25" s="16" t="s">
        <v>4</v>
      </c>
      <c r="AP25" s="17"/>
      <c r="AQ25" s="16" t="s">
        <v>4</v>
      </c>
      <c r="AR25" s="17"/>
      <c r="AS25" s="17"/>
      <c r="AT25" s="16" t="s">
        <v>4</v>
      </c>
      <c r="AU25" s="107"/>
      <c r="AV25" s="16"/>
      <c r="AW25" s="107"/>
      <c r="AX25" s="16"/>
      <c r="AY25" s="16"/>
      <c r="AZ25" s="16" t="s">
        <v>4</v>
      </c>
      <c r="BA25" s="16" t="s">
        <v>4</v>
      </c>
      <c r="BB25" s="107"/>
      <c r="BC25" s="107"/>
      <c r="BD25" s="16"/>
      <c r="BE25" s="16"/>
      <c r="BF25" s="16"/>
      <c r="BG25" s="16"/>
      <c r="BH25" s="16"/>
      <c r="BI25" s="16"/>
      <c r="BJ25" s="16"/>
      <c r="BK25" s="16"/>
      <c r="BL25" s="16"/>
    </row>
    <row r="26">
      <c r="A26" s="15"/>
      <c r="B26" s="19" t="s">
        <v>22</v>
      </c>
      <c r="C26" s="17" t="s">
        <v>2</v>
      </c>
      <c r="D26" s="16" t="s">
        <v>4</v>
      </c>
      <c r="E26" s="104"/>
      <c r="F26" s="16" t="s">
        <v>4</v>
      </c>
      <c r="G26" s="16" t="s">
        <v>4</v>
      </c>
      <c r="H26" s="104"/>
      <c r="I26" s="16"/>
      <c r="J26" s="16"/>
      <c r="K26" s="16" t="s">
        <v>4</v>
      </c>
      <c r="L26" s="16" t="s">
        <v>4</v>
      </c>
      <c r="M26" s="16" t="s">
        <v>4</v>
      </c>
      <c r="N26" s="16" t="s">
        <v>4</v>
      </c>
      <c r="O26" s="16" t="s">
        <v>4</v>
      </c>
      <c r="P26" s="16" t="s">
        <v>4</v>
      </c>
      <c r="Q26" s="16" t="s">
        <v>4</v>
      </c>
      <c r="R26" s="16"/>
      <c r="S26" s="16"/>
      <c r="T26" s="104"/>
      <c r="U26" s="16" t="s">
        <v>4</v>
      </c>
      <c r="V26" s="16" t="s">
        <v>4</v>
      </c>
      <c r="W26" s="16"/>
      <c r="X26" s="40"/>
      <c r="Y26" s="16" t="s">
        <v>4</v>
      </c>
      <c r="Z26" s="16"/>
      <c r="AA26" s="16" t="s">
        <v>4</v>
      </c>
      <c r="AB26" s="16" t="s">
        <v>4</v>
      </c>
      <c r="AC26" s="16" t="s">
        <v>4</v>
      </c>
      <c r="AD26" s="16" t="s">
        <v>4</v>
      </c>
      <c r="AE26" s="40"/>
      <c r="AF26" s="40"/>
      <c r="AG26" s="40"/>
      <c r="AH26" s="16" t="s">
        <v>4</v>
      </c>
      <c r="AI26" s="16" t="s">
        <v>4</v>
      </c>
      <c r="AJ26" s="16" t="s">
        <v>4</v>
      </c>
      <c r="AK26" s="16" t="s">
        <v>4</v>
      </c>
      <c r="AL26" s="16"/>
      <c r="AM26" s="17" t="s">
        <v>4</v>
      </c>
      <c r="AN26" s="16" t="s">
        <v>4</v>
      </c>
      <c r="AO26" s="16" t="s">
        <v>4</v>
      </c>
      <c r="AP26" s="17" t="s">
        <v>4</v>
      </c>
      <c r="AQ26" s="16"/>
      <c r="AR26" s="17" t="s">
        <v>4</v>
      </c>
      <c r="AS26" s="17"/>
      <c r="AT26" s="16" t="s">
        <v>4</v>
      </c>
      <c r="AU26" s="107"/>
      <c r="AV26" s="16"/>
      <c r="AW26" s="107"/>
      <c r="AX26" s="16"/>
      <c r="AY26" s="16"/>
      <c r="AZ26" s="16"/>
      <c r="BA26" s="16" t="s">
        <v>4</v>
      </c>
      <c r="BB26" s="107"/>
      <c r="BC26" s="107"/>
      <c r="BD26" s="16"/>
      <c r="BE26" s="16"/>
      <c r="BF26" s="16"/>
      <c r="BG26" s="16"/>
      <c r="BH26" s="16"/>
      <c r="BI26" s="16"/>
      <c r="BJ26" s="16"/>
      <c r="BK26" s="16"/>
      <c r="BL26" s="16"/>
    </row>
    <row r="27">
      <c r="A27" s="15"/>
      <c r="B27" s="19" t="s">
        <v>23</v>
      </c>
      <c r="C27" s="17" t="s">
        <v>2</v>
      </c>
      <c r="D27" s="16" t="s">
        <v>4</v>
      </c>
      <c r="E27" s="104"/>
      <c r="F27" s="16"/>
      <c r="G27" s="16"/>
      <c r="H27" s="104"/>
      <c r="I27" s="16"/>
      <c r="J27" s="16" t="s">
        <v>4</v>
      </c>
      <c r="K27" s="16" t="s">
        <v>4</v>
      </c>
      <c r="L27" s="16" t="s">
        <v>4</v>
      </c>
      <c r="M27" s="16"/>
      <c r="N27" s="16"/>
      <c r="O27" s="16"/>
      <c r="P27" s="16" t="s">
        <v>4</v>
      </c>
      <c r="Q27" s="16" t="s">
        <v>4</v>
      </c>
      <c r="R27" s="16"/>
      <c r="S27" s="16" t="s">
        <v>4</v>
      </c>
      <c r="T27" s="104"/>
      <c r="U27" s="16" t="s">
        <v>4</v>
      </c>
      <c r="V27" s="16"/>
      <c r="W27" s="16" t="s">
        <v>4</v>
      </c>
      <c r="X27" s="40"/>
      <c r="Y27" s="16"/>
      <c r="Z27" s="20"/>
      <c r="AA27" s="16" t="s">
        <v>4</v>
      </c>
      <c r="AB27" s="16"/>
      <c r="AC27" s="16"/>
      <c r="AD27" s="16" t="s">
        <v>4</v>
      </c>
      <c r="AE27" s="40"/>
      <c r="AF27" s="40"/>
      <c r="AG27" s="40"/>
      <c r="AH27" s="16"/>
      <c r="AI27" s="16" t="s">
        <v>4</v>
      </c>
      <c r="AJ27" s="16" t="s">
        <v>4</v>
      </c>
      <c r="AK27" s="16" t="s">
        <v>4</v>
      </c>
      <c r="AL27" s="16" t="s">
        <v>4</v>
      </c>
      <c r="AM27" s="17" t="s">
        <v>4</v>
      </c>
      <c r="AN27" s="16"/>
      <c r="AO27" s="16" t="s">
        <v>4</v>
      </c>
      <c r="AP27" s="17" t="s">
        <v>4</v>
      </c>
      <c r="AQ27" s="16"/>
      <c r="AR27" s="17"/>
      <c r="AS27" s="17"/>
      <c r="AT27" s="16" t="s">
        <v>4</v>
      </c>
      <c r="AU27" s="107"/>
      <c r="AV27" s="16"/>
      <c r="AW27" s="107"/>
      <c r="AX27" s="16"/>
      <c r="AY27" s="16"/>
      <c r="AZ27" s="16" t="s">
        <v>4</v>
      </c>
      <c r="BA27" s="16" t="s">
        <v>4</v>
      </c>
      <c r="BB27" s="107"/>
      <c r="BC27" s="107"/>
      <c r="BD27" s="16"/>
      <c r="BE27" s="16"/>
      <c r="BF27" s="16"/>
      <c r="BG27" s="16"/>
      <c r="BH27" s="16"/>
      <c r="BI27" s="16"/>
      <c r="BJ27" s="16"/>
      <c r="BK27" s="16"/>
      <c r="BL27" s="16"/>
    </row>
    <row r="28">
      <c r="A28" s="15"/>
      <c r="B28" s="92" t="s">
        <v>144</v>
      </c>
      <c r="C28" s="17" t="s">
        <v>2</v>
      </c>
      <c r="D28" s="16" t="s">
        <v>4</v>
      </c>
      <c r="E28" s="104"/>
      <c r="F28" s="16" t="s">
        <v>4</v>
      </c>
      <c r="G28" s="16" t="s">
        <v>4</v>
      </c>
      <c r="H28" s="104"/>
      <c r="I28" s="16"/>
      <c r="J28" s="16" t="s">
        <v>4</v>
      </c>
      <c r="K28" s="16" t="s">
        <v>4</v>
      </c>
      <c r="L28" s="16" t="s">
        <v>4</v>
      </c>
      <c r="M28" s="16"/>
      <c r="N28" s="16"/>
      <c r="O28" s="16" t="s">
        <v>4</v>
      </c>
      <c r="P28" s="16" t="s">
        <v>4</v>
      </c>
      <c r="Q28" s="16" t="s">
        <v>4</v>
      </c>
      <c r="R28" s="16"/>
      <c r="S28" s="16" t="s">
        <v>4</v>
      </c>
      <c r="T28" s="104"/>
      <c r="U28" s="16" t="s">
        <v>4</v>
      </c>
      <c r="V28" s="16" t="s">
        <v>4</v>
      </c>
      <c r="W28" s="20"/>
      <c r="X28" s="40"/>
      <c r="Y28" s="16"/>
      <c r="Z28" s="16" t="s">
        <v>4</v>
      </c>
      <c r="AA28" s="16"/>
      <c r="AB28" s="16"/>
      <c r="AC28" s="16"/>
      <c r="AD28" s="16"/>
      <c r="AE28" s="40"/>
      <c r="AF28" s="40"/>
      <c r="AG28" s="40"/>
      <c r="AH28" s="16"/>
      <c r="AI28" s="16"/>
      <c r="AJ28" s="16"/>
      <c r="AK28" s="16"/>
      <c r="AL28" s="16"/>
      <c r="AM28" s="17"/>
      <c r="AN28" s="16"/>
      <c r="AO28" s="16"/>
      <c r="AP28" s="17"/>
      <c r="AQ28" s="16" t="s">
        <v>4</v>
      </c>
      <c r="AR28" s="17"/>
      <c r="AS28" s="17"/>
      <c r="AT28" s="16"/>
      <c r="AU28" s="107"/>
      <c r="AV28" s="16"/>
      <c r="AW28" s="107"/>
      <c r="AX28" s="16"/>
      <c r="AY28" s="16"/>
      <c r="AZ28" s="16"/>
      <c r="BA28" s="16"/>
      <c r="BB28" s="107"/>
      <c r="BC28" s="107"/>
      <c r="BD28" s="16"/>
      <c r="BE28" s="16"/>
      <c r="BF28" s="16"/>
      <c r="BG28" s="16"/>
      <c r="BH28" s="16"/>
      <c r="BI28" s="16"/>
      <c r="BJ28" s="16"/>
      <c r="BK28" s="16"/>
      <c r="BL28" s="16"/>
    </row>
    <row r="29">
      <c r="A29" s="15"/>
      <c r="B29" s="19" t="s">
        <v>24</v>
      </c>
      <c r="C29" s="17" t="s">
        <v>2</v>
      </c>
      <c r="D29" s="16" t="s">
        <v>4</v>
      </c>
      <c r="E29" s="104"/>
      <c r="F29" s="16" t="s">
        <v>4</v>
      </c>
      <c r="G29" s="16" t="s">
        <v>4</v>
      </c>
      <c r="H29" s="104"/>
      <c r="I29" s="16" t="s">
        <v>4</v>
      </c>
      <c r="J29" s="16" t="s">
        <v>4</v>
      </c>
      <c r="K29" s="16" t="s">
        <v>4</v>
      </c>
      <c r="L29" s="16"/>
      <c r="M29" s="16" t="s">
        <v>4</v>
      </c>
      <c r="N29" s="16" t="s">
        <v>4</v>
      </c>
      <c r="O29" s="16" t="s">
        <v>4</v>
      </c>
      <c r="P29" s="16" t="s">
        <v>4</v>
      </c>
      <c r="Q29" s="16" t="s">
        <v>4</v>
      </c>
      <c r="R29" s="16" t="s">
        <v>4</v>
      </c>
      <c r="S29" s="16" t="s">
        <v>4</v>
      </c>
      <c r="T29" s="104"/>
      <c r="U29" s="16" t="s">
        <v>4</v>
      </c>
      <c r="V29" s="16" t="s">
        <v>4</v>
      </c>
      <c r="W29" s="16" t="s">
        <v>4</v>
      </c>
      <c r="X29" s="40"/>
      <c r="Y29" s="16"/>
      <c r="Z29" s="16" t="s">
        <v>4</v>
      </c>
      <c r="AA29" s="16" t="s">
        <v>4</v>
      </c>
      <c r="AB29" s="16" t="s">
        <v>4</v>
      </c>
      <c r="AC29" s="16" t="s">
        <v>4</v>
      </c>
      <c r="AD29" s="16" t="s">
        <v>4</v>
      </c>
      <c r="AE29" s="40"/>
      <c r="AF29" s="40"/>
      <c r="AG29" s="40"/>
      <c r="AH29" s="16" t="s">
        <v>4</v>
      </c>
      <c r="AI29" s="16" t="s">
        <v>4</v>
      </c>
      <c r="AJ29" s="16"/>
      <c r="AK29" s="16"/>
      <c r="AL29" s="16"/>
      <c r="AM29" s="17" t="s">
        <v>4</v>
      </c>
      <c r="AN29" s="16" t="s">
        <v>4</v>
      </c>
      <c r="AO29" s="16" t="s">
        <v>4</v>
      </c>
      <c r="AP29" s="17" t="s">
        <v>4</v>
      </c>
      <c r="AQ29" s="16" t="s">
        <v>4</v>
      </c>
      <c r="AR29" s="17" t="s">
        <v>4</v>
      </c>
      <c r="AS29" s="17" t="s">
        <v>4</v>
      </c>
      <c r="AT29" s="16" t="s">
        <v>4</v>
      </c>
      <c r="AU29" s="107"/>
      <c r="AV29" s="16"/>
      <c r="AW29" s="107"/>
      <c r="AX29" s="16"/>
      <c r="AY29" s="16"/>
      <c r="AZ29" s="16"/>
      <c r="BA29" s="16" t="s">
        <v>4</v>
      </c>
      <c r="BB29" s="107"/>
      <c r="BC29" s="107"/>
      <c r="BD29" s="16"/>
      <c r="BE29" s="16"/>
      <c r="BF29" s="16"/>
      <c r="BG29" s="16"/>
      <c r="BH29" s="16"/>
      <c r="BI29" s="16"/>
      <c r="BJ29" s="16"/>
      <c r="BK29" s="16"/>
      <c r="BL29" s="16"/>
    </row>
    <row r="30">
      <c r="A30" s="15"/>
      <c r="B30" s="19" t="s">
        <v>25</v>
      </c>
      <c r="C30" s="17" t="s">
        <v>2</v>
      </c>
      <c r="D30" s="16" t="s">
        <v>4</v>
      </c>
      <c r="E30" s="104"/>
      <c r="F30" s="16" t="s">
        <v>4</v>
      </c>
      <c r="G30" s="16" t="s">
        <v>4</v>
      </c>
      <c r="H30" s="104"/>
      <c r="I30" s="16" t="s">
        <v>4</v>
      </c>
      <c r="J30" s="16" t="s">
        <v>4</v>
      </c>
      <c r="K30" s="16" t="s">
        <v>4</v>
      </c>
      <c r="L30" s="16"/>
      <c r="M30" s="16" t="s">
        <v>4</v>
      </c>
      <c r="N30" s="16" t="s">
        <v>4</v>
      </c>
      <c r="O30" s="16" t="s">
        <v>4</v>
      </c>
      <c r="P30" s="16" t="s">
        <v>4</v>
      </c>
      <c r="Q30" s="16" t="s">
        <v>4</v>
      </c>
      <c r="R30" s="16"/>
      <c r="S30" s="16" t="s">
        <v>4</v>
      </c>
      <c r="T30" s="104"/>
      <c r="U30" s="16" t="s">
        <v>4</v>
      </c>
      <c r="V30" s="16" t="s">
        <v>4</v>
      </c>
      <c r="W30" s="16" t="s">
        <v>4</v>
      </c>
      <c r="X30" s="40"/>
      <c r="Y30" s="16"/>
      <c r="Z30" s="20"/>
      <c r="AA30" s="16"/>
      <c r="AB30" s="16" t="s">
        <v>4</v>
      </c>
      <c r="AC30" s="16"/>
      <c r="AD30" s="16"/>
      <c r="AE30" s="40"/>
      <c r="AF30" s="40"/>
      <c r="AG30" s="40"/>
      <c r="AH30" s="16"/>
      <c r="AI30" s="16" t="s">
        <v>4</v>
      </c>
      <c r="AJ30" s="16"/>
      <c r="AK30" s="16"/>
      <c r="AL30" s="16"/>
      <c r="AM30" s="17" t="s">
        <v>4</v>
      </c>
      <c r="AN30" s="16" t="s">
        <v>4</v>
      </c>
      <c r="AO30" s="16"/>
      <c r="AP30" s="17" t="s">
        <v>4</v>
      </c>
      <c r="AQ30" s="16"/>
      <c r="AR30" s="17" t="s">
        <v>4</v>
      </c>
      <c r="AS30" s="17" t="s">
        <v>4</v>
      </c>
      <c r="AT30" s="16"/>
      <c r="AU30" s="107"/>
      <c r="AV30" s="16"/>
      <c r="AW30" s="107"/>
      <c r="AX30" s="16"/>
      <c r="AY30" s="16"/>
      <c r="AZ30" s="16"/>
      <c r="BA30" s="16"/>
      <c r="BB30" s="107"/>
      <c r="BC30" s="107"/>
      <c r="BD30" s="16"/>
      <c r="BE30" s="16"/>
      <c r="BF30" s="16"/>
      <c r="BG30" s="16"/>
      <c r="BH30" s="16"/>
      <c r="BI30" s="16"/>
      <c r="BJ30" s="16"/>
      <c r="BK30" s="16"/>
      <c r="BL30" s="16"/>
    </row>
    <row r="31">
      <c r="A31" s="15"/>
      <c r="B31" s="92" t="s">
        <v>145</v>
      </c>
      <c r="C31" s="17" t="s">
        <v>2</v>
      </c>
      <c r="D31" s="20"/>
      <c r="E31" s="104"/>
      <c r="F31" s="20"/>
      <c r="G31" s="20"/>
      <c r="H31" s="105"/>
      <c r="I31" s="20"/>
      <c r="J31" s="20"/>
      <c r="K31" s="20"/>
      <c r="L31" s="16"/>
      <c r="M31" s="20"/>
      <c r="N31" s="20"/>
      <c r="O31" s="20"/>
      <c r="P31" s="20"/>
      <c r="Q31" s="20"/>
      <c r="R31" s="20"/>
      <c r="S31" s="20"/>
      <c r="T31" s="104"/>
      <c r="U31" s="20"/>
      <c r="V31" s="20"/>
      <c r="W31" s="20"/>
      <c r="X31" s="43"/>
      <c r="Y31" s="20"/>
      <c r="Z31" s="20"/>
      <c r="AA31" s="20"/>
      <c r="AB31" s="20"/>
      <c r="AC31" s="20"/>
      <c r="AD31" s="20"/>
      <c r="AE31" s="43"/>
      <c r="AF31" s="43"/>
      <c r="AG31" s="43"/>
      <c r="AH31" s="20"/>
      <c r="AI31" s="20"/>
      <c r="AJ31" s="20"/>
      <c r="AK31" s="20"/>
      <c r="AL31" s="20"/>
      <c r="AM31" s="42"/>
      <c r="AN31" s="20"/>
      <c r="AO31" s="20"/>
      <c r="AP31" s="42"/>
      <c r="AQ31" s="20"/>
      <c r="AR31" s="42"/>
      <c r="AS31" s="42"/>
      <c r="AT31" s="20"/>
      <c r="AU31" s="106"/>
      <c r="AV31" s="20"/>
      <c r="AW31" s="106"/>
      <c r="AX31" s="20"/>
      <c r="AY31" s="20"/>
      <c r="AZ31" s="20"/>
      <c r="BA31" s="20"/>
      <c r="BB31" s="106"/>
      <c r="BC31" s="106"/>
      <c r="BD31" s="20"/>
      <c r="BE31" s="20"/>
      <c r="BF31" s="20"/>
      <c r="BG31" s="20"/>
      <c r="BH31" s="20"/>
      <c r="BI31" s="20"/>
      <c r="BJ31" s="20"/>
      <c r="BK31" s="20"/>
      <c r="BL31" s="20"/>
    </row>
    <row r="32">
      <c r="A32" s="15"/>
      <c r="B32" s="92" t="s">
        <v>146</v>
      </c>
      <c r="C32" s="17" t="s">
        <v>2</v>
      </c>
      <c r="D32" s="16"/>
      <c r="E32" s="104"/>
      <c r="F32" s="16"/>
      <c r="G32" s="16"/>
      <c r="H32" s="104"/>
      <c r="I32" s="16"/>
      <c r="J32" s="16"/>
      <c r="K32" s="16"/>
      <c r="L32" s="20"/>
      <c r="M32" s="16"/>
      <c r="N32" s="16"/>
      <c r="O32" s="16"/>
      <c r="P32" s="16"/>
      <c r="Q32" s="16"/>
      <c r="R32" s="16"/>
      <c r="S32" s="16"/>
      <c r="T32" s="104"/>
      <c r="U32" s="16"/>
      <c r="V32" s="16"/>
      <c r="W32" s="16"/>
      <c r="X32" s="40"/>
      <c r="Y32" s="20"/>
      <c r="Z32" s="20"/>
      <c r="AA32" s="20"/>
      <c r="AB32" s="20"/>
      <c r="AC32" s="20"/>
      <c r="AD32" s="20"/>
      <c r="AE32" s="43"/>
      <c r="AF32" s="43"/>
      <c r="AG32" s="43"/>
      <c r="AH32" s="20"/>
      <c r="AI32" s="20"/>
      <c r="AJ32" s="20"/>
      <c r="AK32" s="20"/>
      <c r="AL32" s="20"/>
      <c r="AM32" s="42"/>
      <c r="AN32" s="20"/>
      <c r="AO32" s="20"/>
      <c r="AP32" s="42"/>
      <c r="AQ32" s="20"/>
      <c r="AR32" s="42"/>
      <c r="AS32" s="42"/>
      <c r="AT32" s="20"/>
      <c r="AU32" s="106"/>
      <c r="AV32" s="20"/>
      <c r="AW32" s="106"/>
      <c r="AX32" s="20"/>
      <c r="AY32" s="20"/>
      <c r="AZ32" s="20"/>
      <c r="BA32" s="20"/>
      <c r="BB32" s="106"/>
      <c r="BC32" s="106"/>
      <c r="BD32" s="20"/>
      <c r="BE32" s="20"/>
      <c r="BF32" s="20"/>
      <c r="BG32" s="20"/>
      <c r="BH32" s="20"/>
      <c r="BI32" s="20"/>
      <c r="BJ32" s="20"/>
      <c r="BK32" s="20"/>
      <c r="BL32" s="20"/>
    </row>
    <row r="33">
      <c r="A33" s="15"/>
      <c r="B33" s="19" t="s">
        <v>105</v>
      </c>
      <c r="C33" s="17" t="s">
        <v>2</v>
      </c>
      <c r="D33" s="16"/>
      <c r="E33" s="105"/>
      <c r="F33" s="20"/>
      <c r="G33" s="20"/>
      <c r="H33" s="105"/>
      <c r="I33" s="16"/>
      <c r="J33" s="20"/>
      <c r="K33" s="20"/>
      <c r="L33" s="16"/>
      <c r="M33" s="20"/>
      <c r="N33" s="20"/>
      <c r="O33" s="16"/>
      <c r="P33" s="20"/>
      <c r="Q33" s="20"/>
      <c r="R33" s="20"/>
      <c r="S33" s="20"/>
      <c r="T33" s="105"/>
      <c r="U33" s="20"/>
      <c r="V33" s="20"/>
      <c r="W33" s="16"/>
      <c r="X33" s="43"/>
      <c r="Y33" s="20"/>
      <c r="Z33" s="20"/>
      <c r="AA33" s="20"/>
      <c r="AB33" s="20"/>
      <c r="AC33" s="20"/>
      <c r="AD33" s="20"/>
      <c r="AE33" s="43"/>
      <c r="AF33" s="43"/>
      <c r="AG33" s="43"/>
      <c r="AH33" s="20"/>
      <c r="AI33" s="20"/>
      <c r="AJ33" s="20"/>
      <c r="AK33" s="20"/>
      <c r="AL33" s="20"/>
      <c r="AM33" s="42"/>
      <c r="AN33" s="20"/>
      <c r="AO33" s="20"/>
      <c r="AP33" s="17" t="s">
        <v>4</v>
      </c>
      <c r="AQ33" s="20"/>
      <c r="AR33" s="42"/>
      <c r="AS33" s="42"/>
      <c r="AT33" s="16"/>
      <c r="AU33" s="106"/>
      <c r="AV33" s="16"/>
      <c r="AW33" s="106"/>
      <c r="AX33" s="16"/>
      <c r="AY33" s="16"/>
      <c r="AZ33" s="16"/>
      <c r="BA33" s="16"/>
      <c r="BB33" s="107"/>
      <c r="BC33" s="107"/>
      <c r="BD33" s="16"/>
      <c r="BE33" s="16"/>
      <c r="BF33" s="16"/>
      <c r="BG33" s="16"/>
      <c r="BH33" s="16"/>
      <c r="BI33" s="16"/>
      <c r="BJ33" s="16"/>
      <c r="BK33" s="16"/>
      <c r="BL33" s="16"/>
    </row>
    <row r="34">
      <c r="A34" s="15"/>
      <c r="B34" s="19" t="s">
        <v>106</v>
      </c>
      <c r="C34" s="17" t="s">
        <v>2</v>
      </c>
      <c r="D34" s="16"/>
      <c r="E34" s="105"/>
      <c r="F34" s="20"/>
      <c r="G34" s="20"/>
      <c r="H34" s="105"/>
      <c r="I34" s="16"/>
      <c r="J34" s="20"/>
      <c r="K34" s="20"/>
      <c r="L34" s="20"/>
      <c r="M34" s="20"/>
      <c r="N34" s="20"/>
      <c r="O34" s="16"/>
      <c r="P34" s="20"/>
      <c r="Q34" s="20"/>
      <c r="R34" s="20"/>
      <c r="S34" s="20"/>
      <c r="T34" s="105"/>
      <c r="U34" s="20"/>
      <c r="V34" s="20"/>
      <c r="W34" s="20"/>
      <c r="X34" s="43"/>
      <c r="Y34" s="20"/>
      <c r="Z34" s="20"/>
      <c r="AA34" s="20"/>
      <c r="AB34" s="20"/>
      <c r="AC34" s="20"/>
      <c r="AD34" s="20"/>
      <c r="AE34" s="43"/>
      <c r="AF34" s="43"/>
      <c r="AG34" s="43"/>
      <c r="AH34" s="20"/>
      <c r="AI34" s="20"/>
      <c r="AJ34" s="16"/>
      <c r="AK34" s="20"/>
      <c r="AL34" s="20"/>
      <c r="AM34" s="42"/>
      <c r="AN34" s="16" t="s">
        <v>4</v>
      </c>
      <c r="AO34" s="20"/>
      <c r="AP34" s="42"/>
      <c r="AQ34" s="20"/>
      <c r="AR34" s="42"/>
      <c r="AS34" s="42"/>
      <c r="AT34" s="16"/>
      <c r="AU34" s="106"/>
      <c r="AV34" s="16"/>
      <c r="AW34" s="106"/>
      <c r="AX34" s="16"/>
      <c r="AY34" s="16"/>
      <c r="AZ34" s="16"/>
      <c r="BA34" s="16"/>
      <c r="BB34" s="107"/>
      <c r="BC34" s="107"/>
      <c r="BD34" s="16"/>
      <c r="BE34" s="16"/>
      <c r="BF34" s="16"/>
      <c r="BG34" s="16"/>
      <c r="BH34" s="16"/>
      <c r="BI34" s="16"/>
      <c r="BJ34" s="16"/>
      <c r="BK34" s="16"/>
      <c r="BL34" s="16"/>
    </row>
    <row r="35">
      <c r="A35" s="15"/>
      <c r="B35" s="19" t="s">
        <v>147</v>
      </c>
      <c r="C35" s="17" t="s">
        <v>2</v>
      </c>
      <c r="D35" s="16" t="s">
        <v>4</v>
      </c>
      <c r="E35" s="104"/>
      <c r="F35" s="16" t="s">
        <v>4</v>
      </c>
      <c r="G35" s="16"/>
      <c r="H35" s="104"/>
      <c r="I35" s="16"/>
      <c r="J35" s="16" t="s">
        <v>4</v>
      </c>
      <c r="K35" s="16"/>
      <c r="L35" s="16"/>
      <c r="M35" s="16"/>
      <c r="N35" s="16"/>
      <c r="O35" s="16"/>
      <c r="P35" s="16"/>
      <c r="Q35" s="16"/>
      <c r="R35" s="16" t="s">
        <v>4</v>
      </c>
      <c r="S35" s="16" t="s">
        <v>4</v>
      </c>
      <c r="T35" s="105"/>
      <c r="U35" s="20"/>
      <c r="V35" s="20"/>
      <c r="W35" s="16"/>
      <c r="X35" s="40"/>
      <c r="Y35" s="20"/>
      <c r="Z35" s="16" t="s">
        <v>4</v>
      </c>
      <c r="AA35" s="16" t="s">
        <v>4</v>
      </c>
      <c r="AB35" s="16" t="s">
        <v>4</v>
      </c>
      <c r="AC35" s="16" t="s">
        <v>4</v>
      </c>
      <c r="AD35" s="16"/>
      <c r="AE35" s="40"/>
      <c r="AF35" s="40"/>
      <c r="AG35" s="40"/>
      <c r="AH35" s="16" t="s">
        <v>4</v>
      </c>
      <c r="AI35" s="16"/>
      <c r="AJ35" s="16" t="s">
        <v>4</v>
      </c>
      <c r="AK35" s="16" t="s">
        <v>4</v>
      </c>
      <c r="AL35" s="16"/>
      <c r="AM35" s="17"/>
      <c r="AN35" s="16" t="s">
        <v>4</v>
      </c>
      <c r="AO35" s="16"/>
      <c r="AP35" s="17"/>
      <c r="AQ35" s="16" t="s">
        <v>4</v>
      </c>
      <c r="AR35" s="17"/>
      <c r="AS35" s="17" t="s">
        <v>4</v>
      </c>
      <c r="AT35" s="16"/>
      <c r="AU35" s="107"/>
      <c r="AV35" s="16"/>
      <c r="AW35" s="107"/>
      <c r="AX35" s="16"/>
      <c r="AY35" s="16"/>
      <c r="AZ35" s="16"/>
      <c r="BA35" s="16" t="s">
        <v>4</v>
      </c>
      <c r="BB35" s="107"/>
      <c r="BC35" s="107"/>
      <c r="BD35" s="16"/>
      <c r="BE35" s="16"/>
      <c r="BF35" s="16"/>
      <c r="BG35" s="16"/>
      <c r="BH35" s="16"/>
      <c r="BI35" s="16"/>
      <c r="BJ35" s="16"/>
      <c r="BK35" s="16"/>
      <c r="BL35" s="16"/>
    </row>
    <row r="36">
      <c r="A36" s="15"/>
      <c r="B36" s="19" t="s">
        <v>107</v>
      </c>
      <c r="C36" s="17" t="s">
        <v>2</v>
      </c>
      <c r="D36" s="16"/>
      <c r="E36" s="104"/>
      <c r="F36" s="16"/>
      <c r="G36" s="16"/>
      <c r="H36" s="104"/>
      <c r="I36" s="16"/>
      <c r="J36" s="20"/>
      <c r="K36" s="16"/>
      <c r="L36" s="16"/>
      <c r="M36" s="16"/>
      <c r="N36" s="20"/>
      <c r="O36" s="16"/>
      <c r="P36" s="20"/>
      <c r="Q36" s="20"/>
      <c r="R36" s="16"/>
      <c r="S36" s="16"/>
      <c r="T36" s="104"/>
      <c r="U36" s="16"/>
      <c r="V36" s="16"/>
      <c r="W36" s="16"/>
      <c r="X36" s="40"/>
      <c r="Y36" s="16"/>
      <c r="Z36" s="20"/>
      <c r="AA36" s="20"/>
      <c r="AB36" s="20"/>
      <c r="AC36" s="16"/>
      <c r="AD36" s="16"/>
      <c r="AE36" s="40"/>
      <c r="AF36" s="40"/>
      <c r="AG36" s="40"/>
      <c r="AH36" s="16"/>
      <c r="AI36" s="16"/>
      <c r="AJ36" s="16"/>
      <c r="AK36" s="16"/>
      <c r="AL36" s="16"/>
      <c r="AM36" s="17"/>
      <c r="AN36" s="16"/>
      <c r="AO36" s="16"/>
      <c r="AP36" s="17"/>
      <c r="AQ36" s="16"/>
      <c r="AR36" s="17"/>
      <c r="AS36" s="17"/>
      <c r="AT36" s="16"/>
      <c r="AU36" s="107"/>
      <c r="AV36" s="16"/>
      <c r="AW36" s="107"/>
      <c r="AX36" s="16"/>
      <c r="AY36" s="16"/>
      <c r="AZ36" s="16"/>
      <c r="BA36" s="16"/>
      <c r="BB36" s="107"/>
      <c r="BC36" s="107"/>
      <c r="BD36" s="16"/>
      <c r="BE36" s="16"/>
      <c r="BF36" s="16"/>
      <c r="BG36" s="16"/>
      <c r="BH36" s="16"/>
      <c r="BI36" s="16"/>
      <c r="BJ36" s="16"/>
      <c r="BK36" s="16"/>
      <c r="BL36" s="16"/>
    </row>
    <row r="37">
      <c r="A37" s="15"/>
      <c r="B37" s="19" t="s">
        <v>108</v>
      </c>
      <c r="C37" s="17" t="s">
        <v>2</v>
      </c>
      <c r="D37" s="16"/>
      <c r="E37" s="104"/>
      <c r="F37" s="16"/>
      <c r="G37" s="16"/>
      <c r="H37" s="104"/>
      <c r="I37" s="16"/>
      <c r="J37" s="16"/>
      <c r="K37" s="16"/>
      <c r="L37" s="16"/>
      <c r="M37" s="16"/>
      <c r="N37" s="16" t="s">
        <v>4</v>
      </c>
      <c r="O37" s="16"/>
      <c r="P37" s="20"/>
      <c r="Q37" s="20"/>
      <c r="R37" s="16"/>
      <c r="S37" s="16"/>
      <c r="T37" s="104"/>
      <c r="U37" s="16"/>
      <c r="V37" s="16"/>
      <c r="W37" s="16"/>
      <c r="X37" s="40"/>
      <c r="Y37" s="16"/>
      <c r="Z37" s="20"/>
      <c r="AA37" s="20"/>
      <c r="AB37" s="16"/>
      <c r="AC37" s="16"/>
      <c r="AD37" s="16"/>
      <c r="AE37" s="40"/>
      <c r="AF37" s="40"/>
      <c r="AG37" s="40"/>
      <c r="AH37" s="16"/>
      <c r="AI37" s="16"/>
      <c r="AJ37" s="16"/>
      <c r="AK37" s="16"/>
      <c r="AL37" s="16"/>
      <c r="AM37" s="17"/>
      <c r="AN37" s="16"/>
      <c r="AO37" s="16"/>
      <c r="AP37" s="17"/>
      <c r="AQ37" s="16"/>
      <c r="AR37" s="17"/>
      <c r="AS37" s="17"/>
      <c r="AT37" s="16"/>
      <c r="AU37" s="107"/>
      <c r="AV37" s="16"/>
      <c r="AW37" s="107"/>
      <c r="AX37" s="16"/>
      <c r="AY37" s="16"/>
      <c r="AZ37" s="16"/>
      <c r="BA37" s="16"/>
      <c r="BB37" s="107"/>
      <c r="BC37" s="107"/>
      <c r="BD37" s="16"/>
      <c r="BE37" s="16"/>
      <c r="BF37" s="16"/>
      <c r="BG37" s="16"/>
      <c r="BH37" s="16"/>
      <c r="BI37" s="16"/>
      <c r="BJ37" s="16"/>
      <c r="BK37" s="16"/>
      <c r="BL37" s="16"/>
    </row>
    <row r="38">
      <c r="A38" s="15"/>
      <c r="B38" s="19" t="s">
        <v>27</v>
      </c>
      <c r="C38" s="17" t="s">
        <v>2</v>
      </c>
      <c r="D38" s="16"/>
      <c r="E38" s="104"/>
      <c r="F38" s="16"/>
      <c r="G38" s="16" t="s">
        <v>4</v>
      </c>
      <c r="H38" s="104"/>
      <c r="I38" s="16" t="s">
        <v>4</v>
      </c>
      <c r="J38" s="16"/>
      <c r="K38" s="16" t="s">
        <v>4</v>
      </c>
      <c r="L38" s="16" t="s">
        <v>4</v>
      </c>
      <c r="M38" s="16"/>
      <c r="N38" s="16" t="s">
        <v>4</v>
      </c>
      <c r="O38" s="16"/>
      <c r="P38" s="16"/>
      <c r="Q38" s="16" t="s">
        <v>4</v>
      </c>
      <c r="R38" s="16" t="s">
        <v>4</v>
      </c>
      <c r="S38" s="16"/>
      <c r="T38" s="104"/>
      <c r="U38" s="16" t="s">
        <v>4</v>
      </c>
      <c r="V38" s="16" t="s">
        <v>4</v>
      </c>
      <c r="W38" s="16" t="s">
        <v>4</v>
      </c>
      <c r="X38" s="40"/>
      <c r="Y38" s="16" t="s">
        <v>4</v>
      </c>
      <c r="Z38" s="16" t="s">
        <v>4</v>
      </c>
      <c r="AA38" s="16" t="s">
        <v>4</v>
      </c>
      <c r="AB38" s="16"/>
      <c r="AC38" s="16" t="s">
        <v>4</v>
      </c>
      <c r="AD38" s="16" t="s">
        <v>4</v>
      </c>
      <c r="AE38" s="40"/>
      <c r="AF38" s="40"/>
      <c r="AG38" s="40"/>
      <c r="AH38" s="16" t="s">
        <v>4</v>
      </c>
      <c r="AI38" s="16" t="s">
        <v>4</v>
      </c>
      <c r="AJ38" s="16" t="s">
        <v>4</v>
      </c>
      <c r="AK38" s="16" t="s">
        <v>4</v>
      </c>
      <c r="AL38" s="16"/>
      <c r="AM38" s="17"/>
      <c r="AN38" s="16" t="s">
        <v>148</v>
      </c>
      <c r="AO38" s="16" t="s">
        <v>4</v>
      </c>
      <c r="AP38" s="17" t="s">
        <v>4</v>
      </c>
      <c r="AQ38" s="16" t="s">
        <v>4</v>
      </c>
      <c r="AR38" s="17"/>
      <c r="AS38" s="17"/>
      <c r="AT38" s="16" t="s">
        <v>4</v>
      </c>
      <c r="AU38" s="107"/>
      <c r="AV38" s="16"/>
      <c r="AW38" s="107"/>
      <c r="AX38" s="16"/>
      <c r="AY38" s="16"/>
      <c r="AZ38" s="16" t="s">
        <v>4</v>
      </c>
      <c r="BA38" s="16" t="s">
        <v>4</v>
      </c>
      <c r="BB38" s="107"/>
      <c r="BC38" s="107"/>
      <c r="BD38" s="16"/>
      <c r="BE38" s="16"/>
      <c r="BF38" s="16"/>
      <c r="BG38" s="16"/>
      <c r="BH38" s="16"/>
      <c r="BI38" s="16"/>
      <c r="BJ38" s="16"/>
      <c r="BK38" s="16"/>
      <c r="BL38" s="16"/>
    </row>
    <row r="39">
      <c r="A39" s="15"/>
      <c r="B39" s="19" t="s">
        <v>28</v>
      </c>
      <c r="C39" s="17" t="s">
        <v>2</v>
      </c>
      <c r="D39" s="16" t="s">
        <v>4</v>
      </c>
      <c r="E39" s="104"/>
      <c r="F39" s="16" t="s">
        <v>4</v>
      </c>
      <c r="G39" s="16" t="s">
        <v>4</v>
      </c>
      <c r="H39" s="104"/>
      <c r="I39" s="16" t="s">
        <v>4</v>
      </c>
      <c r="J39" s="16"/>
      <c r="K39" s="16" t="s">
        <v>4</v>
      </c>
      <c r="L39" s="16" t="s">
        <v>4</v>
      </c>
      <c r="M39" s="16" t="s">
        <v>4</v>
      </c>
      <c r="N39" s="16" t="s">
        <v>4</v>
      </c>
      <c r="O39" s="16"/>
      <c r="P39" s="16"/>
      <c r="Q39" s="16" t="s">
        <v>4</v>
      </c>
      <c r="R39" s="16" t="s">
        <v>4</v>
      </c>
      <c r="S39" s="16"/>
      <c r="T39" s="104"/>
      <c r="U39" s="16" t="s">
        <v>4</v>
      </c>
      <c r="V39" s="16" t="s">
        <v>4</v>
      </c>
      <c r="W39" s="16" t="s">
        <v>4</v>
      </c>
      <c r="X39" s="43"/>
      <c r="Y39" s="16" t="s">
        <v>4</v>
      </c>
      <c r="Z39" s="16" t="s">
        <v>4</v>
      </c>
      <c r="AA39" s="16" t="s">
        <v>4</v>
      </c>
      <c r="AB39" s="16" t="s">
        <v>4</v>
      </c>
      <c r="AC39" s="16"/>
      <c r="AD39" s="16" t="s">
        <v>4</v>
      </c>
      <c r="AE39" s="40"/>
      <c r="AF39" s="40"/>
      <c r="AG39" s="40"/>
      <c r="AH39" s="16" t="s">
        <v>4</v>
      </c>
      <c r="AI39" s="16" t="s">
        <v>4</v>
      </c>
      <c r="AJ39" s="16" t="s">
        <v>4</v>
      </c>
      <c r="AK39" s="16" t="s">
        <v>4</v>
      </c>
      <c r="AL39" s="16"/>
      <c r="AM39" s="17"/>
      <c r="AN39" s="16"/>
      <c r="AO39" s="16" t="s">
        <v>4</v>
      </c>
      <c r="AP39" s="17" t="s">
        <v>4</v>
      </c>
      <c r="AQ39" s="16"/>
      <c r="AR39" s="17"/>
      <c r="AS39" s="17"/>
      <c r="AT39" s="16" t="s">
        <v>4</v>
      </c>
      <c r="AU39" s="107"/>
      <c r="AV39" s="16"/>
      <c r="AW39" s="107"/>
      <c r="AX39" s="16"/>
      <c r="AY39" s="16"/>
      <c r="AZ39" s="16"/>
      <c r="BA39" s="16" t="s">
        <v>4</v>
      </c>
      <c r="BB39" s="107"/>
      <c r="BC39" s="107"/>
      <c r="BD39" s="16"/>
      <c r="BE39" s="16"/>
      <c r="BF39" s="16"/>
      <c r="BG39" s="16"/>
      <c r="BH39" s="16"/>
      <c r="BI39" s="16"/>
      <c r="BJ39" s="16"/>
      <c r="BK39" s="16"/>
      <c r="BL39" s="16"/>
    </row>
    <row r="40">
      <c r="A40" s="15"/>
      <c r="B40" s="19" t="s">
        <v>149</v>
      </c>
      <c r="C40" s="17" t="s">
        <v>2</v>
      </c>
      <c r="D40" s="16" t="s">
        <v>4</v>
      </c>
      <c r="E40" s="104"/>
      <c r="F40" s="16" t="s">
        <v>4</v>
      </c>
      <c r="G40" s="16" t="s">
        <v>4</v>
      </c>
      <c r="H40" s="104"/>
      <c r="I40" s="16"/>
      <c r="J40" s="16" t="s">
        <v>4</v>
      </c>
      <c r="K40" s="16"/>
      <c r="L40" s="16"/>
      <c r="M40" s="16" t="s">
        <v>4</v>
      </c>
      <c r="N40" s="16" t="s">
        <v>4</v>
      </c>
      <c r="O40" s="16"/>
      <c r="P40" s="16" t="s">
        <v>4</v>
      </c>
      <c r="Q40" s="16" t="s">
        <v>4</v>
      </c>
      <c r="R40" s="16" t="s">
        <v>4</v>
      </c>
      <c r="S40" s="16" t="s">
        <v>4</v>
      </c>
      <c r="T40" s="104"/>
      <c r="U40" s="16" t="s">
        <v>4</v>
      </c>
      <c r="V40" s="16"/>
      <c r="W40" s="16" t="s">
        <v>4</v>
      </c>
      <c r="X40" s="40"/>
      <c r="Y40" s="16"/>
      <c r="Z40" s="16"/>
      <c r="AA40" s="16"/>
      <c r="AB40" s="16"/>
      <c r="AC40" s="16" t="s">
        <v>4</v>
      </c>
      <c r="AD40" s="16" t="s">
        <v>4</v>
      </c>
      <c r="AE40" s="40"/>
      <c r="AF40" s="40"/>
      <c r="AG40" s="40"/>
      <c r="AH40" s="16"/>
      <c r="AI40" s="16"/>
      <c r="AJ40" s="16" t="s">
        <v>4</v>
      </c>
      <c r="AK40" s="16" t="s">
        <v>4</v>
      </c>
      <c r="AL40" s="16"/>
      <c r="AM40" s="17"/>
      <c r="AN40" s="16" t="s">
        <v>4</v>
      </c>
      <c r="AO40" s="16" t="s">
        <v>4</v>
      </c>
      <c r="AP40" s="17"/>
      <c r="AQ40" s="16" t="s">
        <v>4</v>
      </c>
      <c r="AR40" s="17" t="s">
        <v>4</v>
      </c>
      <c r="AS40" s="17" t="s">
        <v>4</v>
      </c>
      <c r="AT40" s="16" t="s">
        <v>4</v>
      </c>
      <c r="AU40" s="107"/>
      <c r="AV40" s="16"/>
      <c r="AW40" s="107"/>
      <c r="AX40" s="16"/>
      <c r="AY40" s="16"/>
      <c r="AZ40" s="16" t="s">
        <v>4</v>
      </c>
      <c r="BA40" s="16"/>
      <c r="BB40" s="107"/>
      <c r="BC40" s="107"/>
      <c r="BD40" s="16"/>
      <c r="BE40" s="16"/>
      <c r="BF40" s="16"/>
      <c r="BG40" s="16"/>
      <c r="BH40" s="16"/>
      <c r="BI40" s="16"/>
      <c r="BJ40" s="16"/>
      <c r="BK40" s="16"/>
      <c r="BL40" s="16"/>
    </row>
    <row r="41" ht="15.0" customHeight="1">
      <c r="A41" s="15"/>
      <c r="B41" s="19" t="s">
        <v>150</v>
      </c>
      <c r="C41" s="17" t="s">
        <v>2</v>
      </c>
      <c r="D41" s="16" t="s">
        <v>4</v>
      </c>
      <c r="E41" s="104"/>
      <c r="F41" s="20"/>
      <c r="G41" s="16"/>
      <c r="H41" s="104"/>
      <c r="I41" s="16" t="s">
        <v>4</v>
      </c>
      <c r="J41" s="16" t="s">
        <v>4</v>
      </c>
      <c r="K41" s="16" t="s">
        <v>4</v>
      </c>
      <c r="L41" s="16" t="s">
        <v>4</v>
      </c>
      <c r="M41" s="16" t="s">
        <v>4</v>
      </c>
      <c r="N41" s="16" t="s">
        <v>4</v>
      </c>
      <c r="O41" s="16"/>
      <c r="P41" s="16" t="s">
        <v>4</v>
      </c>
      <c r="Q41" s="16" t="s">
        <v>4</v>
      </c>
      <c r="R41" s="16"/>
      <c r="S41" s="16" t="s">
        <v>4</v>
      </c>
      <c r="T41" s="104"/>
      <c r="U41" s="16"/>
      <c r="V41" s="16"/>
      <c r="W41" s="16"/>
      <c r="X41" s="43"/>
      <c r="Y41" s="16"/>
      <c r="Z41" s="16" t="s">
        <v>4</v>
      </c>
      <c r="AA41" s="16" t="s">
        <v>4</v>
      </c>
      <c r="AB41" s="16" t="s">
        <v>4</v>
      </c>
      <c r="AC41" s="16"/>
      <c r="AD41" s="16"/>
      <c r="AE41" s="40"/>
      <c r="AF41" s="40"/>
      <c r="AG41" s="40"/>
      <c r="AH41" s="16"/>
      <c r="AI41" s="16" t="s">
        <v>4</v>
      </c>
      <c r="AJ41" s="16"/>
      <c r="AK41" s="16"/>
      <c r="AL41" s="16" t="s">
        <v>4</v>
      </c>
      <c r="AM41" s="17" t="s">
        <v>4</v>
      </c>
      <c r="AN41" s="16"/>
      <c r="AO41" s="16"/>
      <c r="AP41" s="17"/>
      <c r="AQ41" s="16"/>
      <c r="AR41" s="17"/>
      <c r="AS41" s="17" t="s">
        <v>4</v>
      </c>
      <c r="AT41" s="16"/>
      <c r="AU41" s="107"/>
      <c r="AV41" s="16"/>
      <c r="AW41" s="107"/>
      <c r="AX41" s="16"/>
      <c r="AY41" s="16"/>
      <c r="AZ41" s="16" t="s">
        <v>4</v>
      </c>
      <c r="BA41" s="16"/>
      <c r="BB41" s="107"/>
      <c r="BC41" s="107"/>
      <c r="BD41" s="16"/>
      <c r="BE41" s="16"/>
      <c r="BF41" s="16"/>
      <c r="BG41" s="16"/>
      <c r="BH41" s="16"/>
      <c r="BI41" s="16"/>
      <c r="BJ41" s="16"/>
      <c r="BK41" s="16"/>
      <c r="BL41" s="16"/>
    </row>
    <row r="42" ht="15.0" customHeight="1">
      <c r="A42" s="15"/>
      <c r="B42" s="92" t="s">
        <v>151</v>
      </c>
      <c r="C42" s="17" t="s">
        <v>2</v>
      </c>
      <c r="D42" s="20"/>
      <c r="E42" s="104"/>
      <c r="F42" s="20"/>
      <c r="G42" s="16" t="s">
        <v>4</v>
      </c>
      <c r="H42" s="104"/>
      <c r="I42" s="20"/>
      <c r="J42" s="20"/>
      <c r="K42" s="16" t="s">
        <v>4</v>
      </c>
      <c r="L42" s="20"/>
      <c r="M42" s="16"/>
      <c r="N42" s="20"/>
      <c r="O42" s="16"/>
      <c r="P42" s="16"/>
      <c r="Q42" s="16" t="s">
        <v>4</v>
      </c>
      <c r="R42" s="20"/>
      <c r="S42" s="16" t="s">
        <v>4</v>
      </c>
      <c r="T42" s="105"/>
      <c r="U42" s="20"/>
      <c r="V42" s="16"/>
      <c r="W42" s="16"/>
      <c r="X42" s="43"/>
      <c r="Y42" s="16"/>
      <c r="Z42" s="20"/>
      <c r="AA42" s="20"/>
      <c r="AB42" s="20"/>
      <c r="AC42" s="20"/>
      <c r="AD42" s="20"/>
      <c r="AE42" s="43"/>
      <c r="AF42" s="43"/>
      <c r="AG42" s="43"/>
      <c r="AH42" s="20"/>
      <c r="AI42" s="20"/>
      <c r="AJ42" s="20"/>
      <c r="AK42" s="16"/>
      <c r="AL42" s="16"/>
      <c r="AM42" s="42"/>
      <c r="AN42" s="20"/>
      <c r="AO42" s="16"/>
      <c r="AP42" s="42"/>
      <c r="AQ42" s="16"/>
      <c r="AR42" s="42"/>
      <c r="AS42" s="42"/>
      <c r="AT42" s="16"/>
      <c r="AU42" s="107"/>
      <c r="AV42" s="16"/>
      <c r="AW42" s="106"/>
      <c r="AX42" s="16"/>
      <c r="AY42" s="16"/>
      <c r="AZ42" s="16"/>
      <c r="BA42" s="16"/>
      <c r="BB42" s="107"/>
      <c r="BC42" s="107"/>
      <c r="BD42" s="16"/>
      <c r="BE42" s="16"/>
      <c r="BF42" s="16"/>
      <c r="BG42" s="16"/>
      <c r="BH42" s="16"/>
      <c r="BI42" s="16"/>
      <c r="BJ42" s="16"/>
      <c r="BK42" s="16"/>
      <c r="BL42" s="16"/>
    </row>
    <row r="43" ht="15.0" customHeight="1">
      <c r="A43" s="15"/>
      <c r="B43" s="19" t="s">
        <v>152</v>
      </c>
      <c r="C43" s="17" t="s">
        <v>2</v>
      </c>
      <c r="D43" s="20"/>
      <c r="E43" s="104"/>
      <c r="F43" s="20"/>
      <c r="G43" s="16"/>
      <c r="H43" s="104"/>
      <c r="I43" s="20"/>
      <c r="J43" s="16"/>
      <c r="K43" s="16"/>
      <c r="L43" s="20"/>
      <c r="M43" s="16"/>
      <c r="N43" s="20"/>
      <c r="O43" s="16"/>
      <c r="P43" s="16"/>
      <c r="Q43" s="20"/>
      <c r="R43" s="20"/>
      <c r="S43" s="20"/>
      <c r="T43" s="104"/>
      <c r="U43" s="20"/>
      <c r="V43" s="16"/>
      <c r="W43" s="16"/>
      <c r="X43" s="43"/>
      <c r="Y43" s="20"/>
      <c r="Z43" s="20"/>
      <c r="AA43" s="20"/>
      <c r="AB43" s="20"/>
      <c r="AC43" s="20"/>
      <c r="AD43" s="20"/>
      <c r="AE43" s="40"/>
      <c r="AF43" s="43"/>
      <c r="AG43" s="43"/>
      <c r="AH43" s="20"/>
      <c r="AI43" s="20"/>
      <c r="AJ43" s="20"/>
      <c r="AK43" s="20"/>
      <c r="AL43" s="20"/>
      <c r="AM43" s="42"/>
      <c r="AN43" s="20"/>
      <c r="AO43" s="20"/>
      <c r="AP43" s="42"/>
      <c r="AQ43" s="20"/>
      <c r="AR43" s="42"/>
      <c r="AS43" s="42"/>
      <c r="AT43" s="20"/>
      <c r="AU43" s="106"/>
      <c r="AV43" s="20"/>
      <c r="AW43" s="106"/>
      <c r="AX43" s="20"/>
      <c r="AY43" s="20"/>
      <c r="AZ43" s="20"/>
      <c r="BA43" s="20"/>
      <c r="BB43" s="106"/>
      <c r="BC43" s="106"/>
      <c r="BD43" s="20"/>
      <c r="BE43" s="20"/>
      <c r="BF43" s="20"/>
      <c r="BG43" s="20"/>
      <c r="BH43" s="20"/>
      <c r="BI43" s="20"/>
      <c r="BJ43" s="20"/>
      <c r="BK43" s="20"/>
      <c r="BL43" s="20"/>
    </row>
    <row r="44" ht="15.0" customHeight="1">
      <c r="A44" s="15"/>
      <c r="B44" s="92" t="s">
        <v>153</v>
      </c>
      <c r="C44" s="17" t="s">
        <v>2</v>
      </c>
      <c r="D44" s="20"/>
      <c r="E44" s="104"/>
      <c r="F44" s="20"/>
      <c r="G44" s="16"/>
      <c r="H44" s="104"/>
      <c r="I44" s="20"/>
      <c r="J44" s="20"/>
      <c r="K44" s="16"/>
      <c r="L44" s="20"/>
      <c r="M44" s="16"/>
      <c r="N44" s="20"/>
      <c r="O44" s="16"/>
      <c r="P44" s="16"/>
      <c r="Q44" s="20"/>
      <c r="R44" s="20"/>
      <c r="S44" s="20"/>
      <c r="T44" s="105"/>
      <c r="U44" s="20"/>
      <c r="V44" s="16"/>
      <c r="W44" s="20"/>
      <c r="X44" s="43"/>
      <c r="Y44" s="20"/>
      <c r="Z44" s="20"/>
      <c r="AA44" s="20"/>
      <c r="AB44" s="20"/>
      <c r="AC44" s="20"/>
      <c r="AD44" s="20"/>
      <c r="AE44" s="43"/>
      <c r="AF44" s="43"/>
      <c r="AG44" s="43"/>
      <c r="AH44" s="20"/>
      <c r="AI44" s="20"/>
      <c r="AJ44" s="20"/>
      <c r="AK44" s="20"/>
      <c r="AL44" s="20"/>
      <c r="AM44" s="42"/>
      <c r="AN44" s="20"/>
      <c r="AO44" s="20"/>
      <c r="AP44" s="42"/>
      <c r="AQ44" s="20"/>
      <c r="AR44" s="42"/>
      <c r="AS44" s="42"/>
      <c r="AT44" s="20"/>
      <c r="AU44" s="106"/>
      <c r="AV44" s="20"/>
      <c r="AW44" s="106"/>
      <c r="AX44" s="20"/>
      <c r="AY44" s="20"/>
      <c r="AZ44" s="20"/>
      <c r="BA44" s="20"/>
      <c r="BB44" s="106"/>
      <c r="BC44" s="106"/>
      <c r="BD44" s="20"/>
      <c r="BE44" s="20"/>
      <c r="BF44" s="20"/>
      <c r="BG44" s="20"/>
      <c r="BH44" s="20"/>
      <c r="BI44" s="20"/>
      <c r="BJ44" s="20"/>
      <c r="BK44" s="20"/>
      <c r="BL44" s="20"/>
    </row>
    <row r="45" ht="15.0" customHeight="1">
      <c r="A45" s="15"/>
      <c r="B45" s="92" t="s">
        <v>154</v>
      </c>
      <c r="C45" s="17" t="s">
        <v>2</v>
      </c>
      <c r="D45" s="20"/>
      <c r="E45" s="104"/>
      <c r="F45" s="20"/>
      <c r="G45" s="16"/>
      <c r="H45" s="104"/>
      <c r="I45" s="20"/>
      <c r="J45" s="20"/>
      <c r="K45" s="16"/>
      <c r="L45" s="20"/>
      <c r="M45" s="16"/>
      <c r="N45" s="20"/>
      <c r="O45" s="16"/>
      <c r="P45" s="16"/>
      <c r="Q45" s="20"/>
      <c r="R45" s="20"/>
      <c r="S45" s="20"/>
      <c r="T45" s="105"/>
      <c r="U45" s="20"/>
      <c r="V45" s="16"/>
      <c r="W45" s="20"/>
      <c r="X45" s="43"/>
      <c r="Y45" s="20"/>
      <c r="Z45" s="20"/>
      <c r="AA45" s="20"/>
      <c r="AB45" s="20"/>
      <c r="AC45" s="20"/>
      <c r="AD45" s="20"/>
      <c r="AE45" s="43"/>
      <c r="AF45" s="43"/>
      <c r="AG45" s="43"/>
      <c r="AH45" s="20"/>
      <c r="AI45" s="20"/>
      <c r="AJ45" s="20"/>
      <c r="AK45" s="20"/>
      <c r="AL45" s="20"/>
      <c r="AM45" s="42"/>
      <c r="AN45" s="20"/>
      <c r="AO45" s="20"/>
      <c r="AP45" s="42"/>
      <c r="AQ45" s="20"/>
      <c r="AR45" s="42"/>
      <c r="AS45" s="42"/>
      <c r="AT45" s="20"/>
      <c r="AU45" s="106"/>
      <c r="AV45" s="20"/>
      <c r="AW45" s="106"/>
      <c r="AX45" s="20"/>
      <c r="AY45" s="20"/>
      <c r="AZ45" s="20"/>
      <c r="BA45" s="20"/>
      <c r="BB45" s="106"/>
      <c r="BC45" s="106"/>
      <c r="BD45" s="20"/>
      <c r="BE45" s="20"/>
      <c r="BF45" s="20"/>
      <c r="BG45" s="20"/>
      <c r="BH45" s="20"/>
      <c r="BI45" s="20"/>
      <c r="BJ45" s="20"/>
      <c r="BK45" s="20"/>
      <c r="BL45" s="20"/>
    </row>
    <row r="46" ht="15.0" customHeight="1">
      <c r="A46" s="15"/>
      <c r="B46" s="92" t="s">
        <v>155</v>
      </c>
      <c r="C46" s="17" t="s">
        <v>2</v>
      </c>
      <c r="D46" s="20"/>
      <c r="E46" s="104"/>
      <c r="F46" s="20"/>
      <c r="G46" s="16"/>
      <c r="H46" s="104"/>
      <c r="I46" s="20"/>
      <c r="J46" s="20"/>
      <c r="K46" s="16"/>
      <c r="L46" s="20"/>
      <c r="M46" s="16"/>
      <c r="N46" s="20"/>
      <c r="O46" s="16"/>
      <c r="P46" s="16"/>
      <c r="Q46" s="20"/>
      <c r="R46" s="20"/>
      <c r="S46" s="20"/>
      <c r="T46" s="105"/>
      <c r="U46" s="20"/>
      <c r="V46" s="16"/>
      <c r="W46" s="20"/>
      <c r="X46" s="43"/>
      <c r="Y46" s="20"/>
      <c r="Z46" s="20"/>
      <c r="AA46" s="16"/>
      <c r="AB46" s="16"/>
      <c r="AC46" s="16"/>
      <c r="AD46" s="16"/>
      <c r="AE46" s="40"/>
      <c r="AF46" s="40"/>
      <c r="AG46" s="40"/>
      <c r="AH46" s="16"/>
      <c r="AI46" s="16"/>
      <c r="AJ46" s="16"/>
      <c r="AK46" s="16"/>
      <c r="AL46" s="16"/>
      <c r="AM46" s="17"/>
      <c r="AN46" s="16"/>
      <c r="AO46" s="16"/>
      <c r="AP46" s="17"/>
      <c r="AQ46" s="16"/>
      <c r="AR46" s="17"/>
      <c r="AS46" s="17"/>
      <c r="AT46" s="16"/>
      <c r="AU46" s="107"/>
      <c r="AV46" s="16"/>
      <c r="AW46" s="107"/>
      <c r="AX46" s="16"/>
      <c r="AY46" s="16"/>
      <c r="AZ46" s="16"/>
      <c r="BA46" s="16"/>
      <c r="BB46" s="107"/>
      <c r="BC46" s="107"/>
      <c r="BD46" s="16"/>
      <c r="BE46" s="16"/>
      <c r="BF46" s="16"/>
      <c r="BG46" s="16"/>
      <c r="BH46" s="16"/>
      <c r="BI46" s="16"/>
      <c r="BJ46" s="16"/>
      <c r="BK46" s="16"/>
      <c r="BL46" s="16"/>
    </row>
    <row r="47" ht="15.0" customHeight="1">
      <c r="A47" s="15"/>
      <c r="B47" s="19"/>
      <c r="C47" s="17"/>
      <c r="D47" s="20"/>
      <c r="E47" s="104"/>
      <c r="F47" s="20"/>
      <c r="G47" s="16"/>
      <c r="H47" s="104"/>
      <c r="I47" s="20"/>
      <c r="J47" s="20"/>
      <c r="K47" s="16"/>
      <c r="L47" s="20"/>
      <c r="M47" s="16"/>
      <c r="N47" s="20"/>
      <c r="O47" s="16"/>
      <c r="P47" s="16"/>
      <c r="Q47" s="20"/>
      <c r="R47" s="20"/>
      <c r="S47" s="20"/>
      <c r="T47" s="105"/>
      <c r="U47" s="20"/>
      <c r="V47" s="16"/>
      <c r="W47" s="20"/>
      <c r="X47" s="43"/>
      <c r="Y47" s="20"/>
      <c r="Z47" s="20"/>
      <c r="AA47" s="20"/>
      <c r="AB47" s="20"/>
      <c r="AC47" s="20"/>
      <c r="AD47" s="20"/>
      <c r="AE47" s="43"/>
      <c r="AF47" s="43"/>
      <c r="AG47" s="43"/>
      <c r="AH47" s="20"/>
      <c r="AI47" s="20"/>
      <c r="AJ47" s="20"/>
      <c r="AK47" s="20"/>
      <c r="AL47" s="20"/>
      <c r="AM47" s="42"/>
      <c r="AN47" s="20"/>
      <c r="AO47" s="20"/>
      <c r="AP47" s="42"/>
      <c r="AQ47" s="20"/>
      <c r="AR47" s="42"/>
      <c r="AS47" s="42"/>
      <c r="AT47" s="20"/>
      <c r="AU47" s="106"/>
      <c r="AV47" s="20"/>
      <c r="AW47" s="106"/>
      <c r="AX47" s="20"/>
      <c r="AY47" s="20"/>
      <c r="AZ47" s="16"/>
      <c r="BA47" s="20"/>
      <c r="BB47" s="106"/>
      <c r="BC47" s="106"/>
      <c r="BD47" s="20"/>
      <c r="BE47" s="20"/>
      <c r="BF47" s="20"/>
      <c r="BG47" s="20"/>
      <c r="BH47" s="20"/>
      <c r="BI47" s="20"/>
      <c r="BJ47" s="20"/>
      <c r="BK47" s="20"/>
      <c r="BL47" s="20"/>
    </row>
    <row r="48">
      <c r="A48" s="21"/>
      <c r="B48" s="109"/>
      <c r="C48" s="17"/>
      <c r="D48" s="16"/>
      <c r="E48" s="105"/>
      <c r="F48" s="20"/>
      <c r="G48" s="20"/>
      <c r="H48" s="105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105"/>
      <c r="U48" s="20"/>
      <c r="V48" s="20"/>
      <c r="W48" s="20"/>
      <c r="X48" s="43"/>
      <c r="Y48" s="20"/>
      <c r="Z48" s="20"/>
      <c r="AA48" s="20"/>
      <c r="AB48" s="20"/>
      <c r="AC48" s="20"/>
      <c r="AD48" s="20"/>
      <c r="AE48" s="43"/>
      <c r="AF48" s="43"/>
      <c r="AG48" s="43"/>
      <c r="AH48" s="20"/>
      <c r="AI48" s="20"/>
      <c r="AJ48" s="20"/>
      <c r="AK48" s="20"/>
      <c r="AL48" s="20"/>
      <c r="AM48" s="42"/>
      <c r="AN48" s="20"/>
      <c r="AO48" s="20"/>
      <c r="AP48" s="42"/>
      <c r="AQ48" s="20"/>
      <c r="AR48" s="42"/>
      <c r="AS48" s="42"/>
      <c r="AT48" s="20"/>
      <c r="AU48" s="106"/>
      <c r="AV48" s="20"/>
      <c r="AW48" s="106"/>
      <c r="AX48" s="20"/>
      <c r="AY48" s="20"/>
      <c r="AZ48" s="20"/>
      <c r="BA48" s="20"/>
      <c r="BB48" s="106"/>
      <c r="BC48" s="106"/>
      <c r="BD48" s="20"/>
      <c r="BE48" s="20"/>
      <c r="BF48" s="20"/>
      <c r="BG48" s="20"/>
      <c r="BH48" s="20"/>
      <c r="BI48" s="20"/>
      <c r="BJ48" s="20"/>
      <c r="BK48" s="20"/>
      <c r="BL48" s="20"/>
    </row>
    <row r="49">
      <c r="A49" s="93" t="s">
        <v>30</v>
      </c>
      <c r="B49" s="94" t="s">
        <v>31</v>
      </c>
      <c r="C49" s="17" t="s">
        <v>30</v>
      </c>
      <c r="D49" s="16" t="s">
        <v>4</v>
      </c>
      <c r="E49" s="104"/>
      <c r="F49" s="16" t="s">
        <v>4</v>
      </c>
      <c r="G49" s="16" t="s">
        <v>4</v>
      </c>
      <c r="H49" s="104"/>
      <c r="I49" s="16" t="s">
        <v>4</v>
      </c>
      <c r="J49" s="16" t="s">
        <v>4</v>
      </c>
      <c r="K49" s="16" t="s">
        <v>4</v>
      </c>
      <c r="L49" s="16" t="s">
        <v>4</v>
      </c>
      <c r="M49" s="16" t="s">
        <v>4</v>
      </c>
      <c r="N49" s="16" t="s">
        <v>4</v>
      </c>
      <c r="O49" s="16"/>
      <c r="P49" s="16" t="s">
        <v>4</v>
      </c>
      <c r="Q49" s="16" t="s">
        <v>4</v>
      </c>
      <c r="R49" s="16" t="s">
        <v>4</v>
      </c>
      <c r="S49" s="16"/>
      <c r="T49" s="104"/>
      <c r="U49" s="16" t="s">
        <v>4</v>
      </c>
      <c r="V49" s="16"/>
      <c r="W49" s="16" t="s">
        <v>4</v>
      </c>
      <c r="X49" s="40"/>
      <c r="Y49" s="16" t="s">
        <v>4</v>
      </c>
      <c r="Z49" s="16" t="s">
        <v>4</v>
      </c>
      <c r="AA49" s="16" t="s">
        <v>4</v>
      </c>
      <c r="AB49" s="16"/>
      <c r="AC49" s="16" t="s">
        <v>4</v>
      </c>
      <c r="AD49" s="16" t="s">
        <v>4</v>
      </c>
      <c r="AE49" s="40"/>
      <c r="AF49" s="40"/>
      <c r="AG49" s="40"/>
      <c r="AH49" s="16" t="s">
        <v>4</v>
      </c>
      <c r="AI49" s="16" t="s">
        <v>4</v>
      </c>
      <c r="AJ49" s="16" t="s">
        <v>4</v>
      </c>
      <c r="AK49" s="16" t="s">
        <v>4</v>
      </c>
      <c r="AL49" s="16" t="s">
        <v>4</v>
      </c>
      <c r="AM49" s="17" t="s">
        <v>4</v>
      </c>
      <c r="AN49" s="16" t="s">
        <v>4</v>
      </c>
      <c r="AO49" s="16" t="s">
        <v>4</v>
      </c>
      <c r="AP49" s="17"/>
      <c r="AQ49" s="16" t="s">
        <v>4</v>
      </c>
      <c r="AR49" s="17" t="s">
        <v>4</v>
      </c>
      <c r="AS49" s="17" t="s">
        <v>4</v>
      </c>
      <c r="AT49" s="16" t="s">
        <v>4</v>
      </c>
      <c r="AU49" s="107"/>
      <c r="AV49" s="16"/>
      <c r="AW49" s="107"/>
      <c r="AX49" s="16"/>
      <c r="AY49" s="16"/>
      <c r="AZ49" s="16" t="s">
        <v>4</v>
      </c>
      <c r="BA49" s="16" t="s">
        <v>4</v>
      </c>
      <c r="BB49" s="107"/>
      <c r="BC49" s="107"/>
      <c r="BD49" s="16"/>
      <c r="BE49" s="16"/>
      <c r="BF49" s="16"/>
      <c r="BG49" s="16"/>
      <c r="BH49" s="16"/>
      <c r="BI49" s="16"/>
      <c r="BJ49" s="16"/>
      <c r="BK49" s="16"/>
      <c r="BL49" s="16"/>
    </row>
    <row r="50">
      <c r="A50" s="15"/>
      <c r="B50" s="16" t="s">
        <v>32</v>
      </c>
      <c r="C50" s="17" t="s">
        <v>30</v>
      </c>
      <c r="D50" s="16"/>
      <c r="E50" s="105"/>
      <c r="F50" s="20"/>
      <c r="G50" s="20"/>
      <c r="H50" s="104"/>
      <c r="I50" s="20"/>
      <c r="J50" s="16" t="s">
        <v>4</v>
      </c>
      <c r="K50" s="16" t="s">
        <v>4</v>
      </c>
      <c r="L50" s="16" t="s">
        <v>4</v>
      </c>
      <c r="M50" s="16" t="s">
        <v>4</v>
      </c>
      <c r="N50" s="16"/>
      <c r="O50" s="16" t="s">
        <v>4</v>
      </c>
      <c r="P50" s="16"/>
      <c r="Q50" s="16" t="s">
        <v>4</v>
      </c>
      <c r="R50" s="16" t="s">
        <v>4</v>
      </c>
      <c r="S50" s="16" t="s">
        <v>4</v>
      </c>
      <c r="T50" s="105"/>
      <c r="U50" s="16" t="s">
        <v>4</v>
      </c>
      <c r="V50" s="16"/>
      <c r="W50" s="16"/>
      <c r="X50" s="43"/>
      <c r="Y50" s="16"/>
      <c r="Z50" s="16" t="s">
        <v>4</v>
      </c>
      <c r="AA50" s="20"/>
      <c r="AB50" s="16" t="s">
        <v>4</v>
      </c>
      <c r="AC50" s="16" t="s">
        <v>4</v>
      </c>
      <c r="AD50" s="16" t="s">
        <v>4</v>
      </c>
      <c r="AE50" s="40"/>
      <c r="AF50" s="40"/>
      <c r="AG50" s="40"/>
      <c r="AH50" s="16" t="s">
        <v>4</v>
      </c>
      <c r="AI50" s="16"/>
      <c r="AJ50" s="16" t="s">
        <v>4</v>
      </c>
      <c r="AK50" s="16" t="s">
        <v>4</v>
      </c>
      <c r="AL50" s="16" t="s">
        <v>4</v>
      </c>
      <c r="AM50" s="17"/>
      <c r="AN50" s="16" t="s">
        <v>4</v>
      </c>
      <c r="AO50" s="16" t="s">
        <v>4</v>
      </c>
      <c r="AP50" s="17" t="s">
        <v>4</v>
      </c>
      <c r="AQ50" s="16"/>
      <c r="AR50" s="17" t="s">
        <v>4</v>
      </c>
      <c r="AS50" s="17" t="s">
        <v>4</v>
      </c>
      <c r="AT50" s="16" t="s">
        <v>4</v>
      </c>
      <c r="AU50" s="107"/>
      <c r="AV50" s="16"/>
      <c r="AW50" s="107"/>
      <c r="AX50" s="16"/>
      <c r="AY50" s="16"/>
      <c r="AZ50" s="16" t="s">
        <v>4</v>
      </c>
      <c r="BA50" s="16"/>
      <c r="BB50" s="107"/>
      <c r="BC50" s="107"/>
      <c r="BD50" s="16"/>
      <c r="BE50" s="16"/>
      <c r="BF50" s="16"/>
      <c r="BG50" s="16"/>
      <c r="BH50" s="16"/>
      <c r="BI50" s="16"/>
      <c r="BJ50" s="16"/>
      <c r="BK50" s="16"/>
      <c r="BL50" s="16"/>
    </row>
    <row r="51">
      <c r="A51" s="15"/>
      <c r="B51" s="16" t="s">
        <v>33</v>
      </c>
      <c r="C51" s="17" t="s">
        <v>30</v>
      </c>
      <c r="D51" s="16" t="s">
        <v>4</v>
      </c>
      <c r="E51" s="104"/>
      <c r="F51" s="16" t="s">
        <v>4</v>
      </c>
      <c r="G51" s="16"/>
      <c r="H51" s="105"/>
      <c r="I51" s="16"/>
      <c r="J51" s="16"/>
      <c r="K51" s="16" t="s">
        <v>4</v>
      </c>
      <c r="L51" s="16" t="s">
        <v>4</v>
      </c>
      <c r="M51" s="16" t="s">
        <v>4</v>
      </c>
      <c r="N51" s="16" t="s">
        <v>4</v>
      </c>
      <c r="O51" s="16" t="s">
        <v>4</v>
      </c>
      <c r="P51" s="20"/>
      <c r="Q51" s="16"/>
      <c r="R51" s="16" t="s">
        <v>4</v>
      </c>
      <c r="S51" s="16"/>
      <c r="T51" s="105"/>
      <c r="U51" s="16"/>
      <c r="V51" s="16" t="s">
        <v>4</v>
      </c>
      <c r="W51" s="16" t="s">
        <v>4</v>
      </c>
      <c r="X51" s="43"/>
      <c r="Y51" s="16"/>
      <c r="Z51" s="16"/>
      <c r="AA51" s="16" t="s">
        <v>4</v>
      </c>
      <c r="AB51" s="16" t="s">
        <v>4</v>
      </c>
      <c r="AC51" s="16" t="s">
        <v>4</v>
      </c>
      <c r="AD51" s="16" t="s">
        <v>4</v>
      </c>
      <c r="AE51" s="40"/>
      <c r="AF51" s="40"/>
      <c r="AG51" s="40"/>
      <c r="AH51" s="16"/>
      <c r="AI51" s="16"/>
      <c r="AJ51" s="16" t="s">
        <v>4</v>
      </c>
      <c r="AK51" s="16" t="s">
        <v>4</v>
      </c>
      <c r="AL51" s="16" t="s">
        <v>4</v>
      </c>
      <c r="AM51" s="17" t="s">
        <v>4</v>
      </c>
      <c r="AN51" s="16" t="s">
        <v>4</v>
      </c>
      <c r="AO51" s="16"/>
      <c r="AP51" s="17"/>
      <c r="AQ51" s="16"/>
      <c r="AR51" s="17" t="s">
        <v>4</v>
      </c>
      <c r="AS51" s="17" t="s">
        <v>4</v>
      </c>
      <c r="AT51" s="16" t="s">
        <v>4</v>
      </c>
      <c r="AU51" s="107"/>
      <c r="AV51" s="16"/>
      <c r="AW51" s="107"/>
      <c r="AX51" s="16"/>
      <c r="AY51" s="16"/>
      <c r="AZ51" s="16" t="s">
        <v>4</v>
      </c>
      <c r="BA51" s="16" t="s">
        <v>4</v>
      </c>
      <c r="BB51" s="107"/>
      <c r="BC51" s="107"/>
      <c r="BD51" s="16"/>
      <c r="BE51" s="16"/>
      <c r="BF51" s="16"/>
      <c r="BG51" s="16"/>
      <c r="BH51" s="16"/>
      <c r="BI51" s="16"/>
      <c r="BJ51" s="16"/>
      <c r="BK51" s="16"/>
      <c r="BL51" s="16"/>
    </row>
    <row r="52">
      <c r="A52" s="15"/>
      <c r="B52" s="16" t="s">
        <v>34</v>
      </c>
      <c r="C52" s="17" t="s">
        <v>30</v>
      </c>
      <c r="D52" s="16" t="s">
        <v>4</v>
      </c>
      <c r="E52" s="104"/>
      <c r="F52" s="16" t="s">
        <v>4</v>
      </c>
      <c r="G52" s="16"/>
      <c r="H52" s="104"/>
      <c r="I52" s="16"/>
      <c r="J52" s="20"/>
      <c r="K52" s="16" t="s">
        <v>4</v>
      </c>
      <c r="L52" s="16" t="s">
        <v>4</v>
      </c>
      <c r="M52" s="16" t="s">
        <v>4</v>
      </c>
      <c r="N52" s="16" t="s">
        <v>4</v>
      </c>
      <c r="O52" s="16" t="s">
        <v>4</v>
      </c>
      <c r="P52" s="20"/>
      <c r="Q52" s="16" t="s">
        <v>4</v>
      </c>
      <c r="R52" s="16" t="s">
        <v>4</v>
      </c>
      <c r="S52" s="16"/>
      <c r="T52" s="105"/>
      <c r="U52" s="16"/>
      <c r="V52" s="20"/>
      <c r="W52" s="16" t="s">
        <v>4</v>
      </c>
      <c r="X52" s="43"/>
      <c r="Y52" s="16"/>
      <c r="Z52" s="16"/>
      <c r="AA52" s="16" t="s">
        <v>4</v>
      </c>
      <c r="AB52" s="16" t="s">
        <v>4</v>
      </c>
      <c r="AC52" s="16" t="s">
        <v>4</v>
      </c>
      <c r="AD52" s="16" t="s">
        <v>4</v>
      </c>
      <c r="AE52" s="40"/>
      <c r="AF52" s="40"/>
      <c r="AG52" s="40"/>
      <c r="AH52" s="16"/>
      <c r="AI52" s="16"/>
      <c r="AJ52" s="16" t="s">
        <v>4</v>
      </c>
      <c r="AK52" s="16" t="s">
        <v>4</v>
      </c>
      <c r="AL52" s="16" t="s">
        <v>4</v>
      </c>
      <c r="AM52" s="17" t="s">
        <v>4</v>
      </c>
      <c r="AN52" s="16" t="s">
        <v>4</v>
      </c>
      <c r="AO52" s="16"/>
      <c r="AP52" s="17"/>
      <c r="AQ52" s="16"/>
      <c r="AR52" s="17" t="s">
        <v>4</v>
      </c>
      <c r="AS52" s="17" t="s">
        <v>4</v>
      </c>
      <c r="AT52" s="16" t="s">
        <v>4</v>
      </c>
      <c r="AU52" s="107"/>
      <c r="AV52" s="16"/>
      <c r="AW52" s="107"/>
      <c r="AX52" s="16"/>
      <c r="AY52" s="16"/>
      <c r="AZ52" s="16" t="s">
        <v>4</v>
      </c>
      <c r="BA52" s="16" t="s">
        <v>4</v>
      </c>
      <c r="BB52" s="107"/>
      <c r="BC52" s="107"/>
      <c r="BD52" s="16"/>
      <c r="BE52" s="16"/>
      <c r="BF52" s="16"/>
      <c r="BG52" s="16"/>
      <c r="BH52" s="16"/>
      <c r="BI52" s="16"/>
      <c r="BJ52" s="16"/>
      <c r="BK52" s="16"/>
      <c r="BL52" s="16"/>
    </row>
    <row r="53">
      <c r="A53" s="15"/>
      <c r="B53" s="16" t="s">
        <v>35</v>
      </c>
      <c r="C53" s="17" t="s">
        <v>30</v>
      </c>
      <c r="D53" s="16" t="s">
        <v>4</v>
      </c>
      <c r="E53" s="104"/>
      <c r="F53" s="16"/>
      <c r="G53" s="16"/>
      <c r="H53" s="104"/>
      <c r="I53" s="16"/>
      <c r="J53" s="16"/>
      <c r="K53" s="16"/>
      <c r="L53" s="16" t="s">
        <v>4</v>
      </c>
      <c r="M53" s="16" t="s">
        <v>4</v>
      </c>
      <c r="N53" s="20"/>
      <c r="O53" s="16" t="s">
        <v>4</v>
      </c>
      <c r="P53" s="16"/>
      <c r="Q53" s="16"/>
      <c r="R53" s="16" t="s">
        <v>4</v>
      </c>
      <c r="S53" s="16"/>
      <c r="T53" s="105"/>
      <c r="U53" s="16"/>
      <c r="V53" s="16"/>
      <c r="W53" s="16" t="s">
        <v>4</v>
      </c>
      <c r="X53" s="43"/>
      <c r="Y53" s="16"/>
      <c r="Z53" s="20"/>
      <c r="AA53" s="16"/>
      <c r="AB53" s="16"/>
      <c r="AC53" s="16"/>
      <c r="AD53" s="16" t="s">
        <v>4</v>
      </c>
      <c r="AE53" s="40"/>
      <c r="AF53" s="40"/>
      <c r="AG53" s="40"/>
      <c r="AH53" s="16" t="s">
        <v>4</v>
      </c>
      <c r="AI53" s="16" t="s">
        <v>4</v>
      </c>
      <c r="AJ53" s="16" t="s">
        <v>4</v>
      </c>
      <c r="AK53" s="16" t="s">
        <v>4</v>
      </c>
      <c r="AL53" s="16" t="s">
        <v>4</v>
      </c>
      <c r="AM53" s="17"/>
      <c r="AN53" s="16"/>
      <c r="AO53" s="16" t="s">
        <v>4</v>
      </c>
      <c r="AP53" s="17" t="s">
        <v>4</v>
      </c>
      <c r="AQ53" s="16" t="s">
        <v>4</v>
      </c>
      <c r="AR53" s="17"/>
      <c r="AS53" s="17" t="s">
        <v>4</v>
      </c>
      <c r="AT53" s="16" t="s">
        <v>4</v>
      </c>
      <c r="AU53" s="107"/>
      <c r="AV53" s="16"/>
      <c r="AW53" s="107"/>
      <c r="AX53" s="16"/>
      <c r="AY53" s="16"/>
      <c r="AZ53" s="16"/>
      <c r="BA53" s="16" t="s">
        <v>4</v>
      </c>
      <c r="BB53" s="107"/>
      <c r="BC53" s="107"/>
      <c r="BD53" s="16"/>
      <c r="BE53" s="16"/>
      <c r="BF53" s="16"/>
      <c r="BG53" s="16"/>
      <c r="BH53" s="16"/>
      <c r="BI53" s="16"/>
      <c r="BJ53" s="16"/>
      <c r="BK53" s="16"/>
      <c r="BL53" s="16"/>
    </row>
    <row r="54">
      <c r="A54" s="15"/>
      <c r="B54" s="16" t="s">
        <v>36</v>
      </c>
      <c r="C54" s="17" t="s">
        <v>30</v>
      </c>
      <c r="D54" s="16" t="s">
        <v>4</v>
      </c>
      <c r="E54" s="104"/>
      <c r="F54" s="16"/>
      <c r="G54" s="16" t="s">
        <v>4</v>
      </c>
      <c r="H54" s="104"/>
      <c r="I54" s="16"/>
      <c r="J54" s="16"/>
      <c r="K54" s="16"/>
      <c r="L54" s="16" t="s">
        <v>4</v>
      </c>
      <c r="M54" s="16" t="s">
        <v>4</v>
      </c>
      <c r="N54" s="20"/>
      <c r="O54" s="16" t="s">
        <v>4</v>
      </c>
      <c r="P54" s="16" t="s">
        <v>4</v>
      </c>
      <c r="Q54" s="16"/>
      <c r="R54" s="16" t="s">
        <v>4</v>
      </c>
      <c r="S54" s="16"/>
      <c r="T54" s="105"/>
      <c r="U54" s="16"/>
      <c r="V54" s="16"/>
      <c r="W54" s="16" t="s">
        <v>4</v>
      </c>
      <c r="X54" s="43"/>
      <c r="Y54" s="16"/>
      <c r="Z54" s="20"/>
      <c r="AA54" s="16" t="s">
        <v>4</v>
      </c>
      <c r="AB54" s="20"/>
      <c r="AC54" s="20"/>
      <c r="AD54" s="16" t="s">
        <v>4</v>
      </c>
      <c r="AE54" s="40"/>
      <c r="AF54" s="40"/>
      <c r="AG54" s="40"/>
      <c r="AH54" s="16" t="s">
        <v>4</v>
      </c>
      <c r="AI54" s="16"/>
      <c r="AJ54" s="16"/>
      <c r="AK54" s="16"/>
      <c r="AL54" s="16" t="s">
        <v>4</v>
      </c>
      <c r="AM54" s="17"/>
      <c r="AN54" s="16"/>
      <c r="AO54" s="16" t="s">
        <v>4</v>
      </c>
      <c r="AP54" s="17" t="s">
        <v>4</v>
      </c>
      <c r="AQ54" s="16" t="s">
        <v>4</v>
      </c>
      <c r="AR54" s="17" t="s">
        <v>4</v>
      </c>
      <c r="AS54" s="17" t="s">
        <v>4</v>
      </c>
      <c r="AT54" s="16" t="s">
        <v>4</v>
      </c>
      <c r="AU54" s="107"/>
      <c r="AV54" s="16"/>
      <c r="AW54" s="107"/>
      <c r="AX54" s="16"/>
      <c r="AY54" s="16"/>
      <c r="AZ54" s="16"/>
      <c r="BA54" s="16" t="s">
        <v>4</v>
      </c>
      <c r="BB54" s="107"/>
      <c r="BC54" s="107"/>
      <c r="BD54" s="16"/>
      <c r="BE54" s="16"/>
      <c r="BF54" s="16"/>
      <c r="BG54" s="16"/>
      <c r="BH54" s="16"/>
      <c r="BI54" s="16"/>
      <c r="BJ54" s="16"/>
      <c r="BK54" s="16"/>
      <c r="BL54" s="16"/>
    </row>
    <row r="55">
      <c r="A55" s="15"/>
      <c r="B55" s="16" t="s">
        <v>37</v>
      </c>
      <c r="C55" s="17" t="s">
        <v>30</v>
      </c>
      <c r="D55" s="16" t="s">
        <v>4</v>
      </c>
      <c r="E55" s="104"/>
      <c r="F55" s="16" t="s">
        <v>4</v>
      </c>
      <c r="G55" s="16" t="s">
        <v>4</v>
      </c>
      <c r="H55" s="104"/>
      <c r="I55" s="16"/>
      <c r="J55" s="16"/>
      <c r="K55" s="16" t="s">
        <v>4</v>
      </c>
      <c r="L55" s="16" t="s">
        <v>4</v>
      </c>
      <c r="M55" s="16" t="s">
        <v>4</v>
      </c>
      <c r="N55" s="16" t="s">
        <v>4</v>
      </c>
      <c r="O55" s="16" t="s">
        <v>4</v>
      </c>
      <c r="P55" s="16" t="s">
        <v>4</v>
      </c>
      <c r="Q55" s="16" t="s">
        <v>4</v>
      </c>
      <c r="R55" s="16"/>
      <c r="S55" s="16" t="s">
        <v>4</v>
      </c>
      <c r="T55" s="105"/>
      <c r="U55" s="16" t="s">
        <v>4</v>
      </c>
      <c r="V55" s="16" t="s">
        <v>4</v>
      </c>
      <c r="W55" s="16" t="s">
        <v>4</v>
      </c>
      <c r="X55" s="43"/>
      <c r="Y55" s="16"/>
      <c r="Z55" s="20"/>
      <c r="AA55" s="20"/>
      <c r="AB55" s="20"/>
      <c r="AC55" s="16" t="s">
        <v>4</v>
      </c>
      <c r="AD55" s="16" t="s">
        <v>4</v>
      </c>
      <c r="AE55" s="43"/>
      <c r="AF55" s="40"/>
      <c r="AG55" s="40"/>
      <c r="AH55" s="16" t="s">
        <v>4</v>
      </c>
      <c r="AI55" s="16" t="s">
        <v>4</v>
      </c>
      <c r="AJ55" s="16" t="s">
        <v>4</v>
      </c>
      <c r="AK55" s="16" t="s">
        <v>4</v>
      </c>
      <c r="AL55" s="16" t="s">
        <v>4</v>
      </c>
      <c r="AM55" s="17" t="s">
        <v>4</v>
      </c>
      <c r="AN55" s="16" t="s">
        <v>4</v>
      </c>
      <c r="AO55" s="16" t="s">
        <v>4</v>
      </c>
      <c r="AP55" s="17" t="s">
        <v>4</v>
      </c>
      <c r="AQ55" s="16" t="s">
        <v>4</v>
      </c>
      <c r="AR55" s="17" t="s">
        <v>4</v>
      </c>
      <c r="AS55" s="17" t="s">
        <v>4</v>
      </c>
      <c r="AT55" s="16" t="s">
        <v>4</v>
      </c>
      <c r="AU55" s="107"/>
      <c r="AV55" s="16"/>
      <c r="AW55" s="107"/>
      <c r="AX55" s="16"/>
      <c r="AY55" s="16"/>
      <c r="AZ55" s="16" t="s">
        <v>4</v>
      </c>
      <c r="BA55" s="16" t="s">
        <v>4</v>
      </c>
      <c r="BB55" s="107"/>
      <c r="BC55" s="107"/>
      <c r="BD55" s="16"/>
      <c r="BE55" s="16"/>
      <c r="BF55" s="16"/>
      <c r="BG55" s="16"/>
      <c r="BH55" s="16"/>
      <c r="BI55" s="16"/>
      <c r="BJ55" s="16"/>
      <c r="BK55" s="16"/>
      <c r="BL55" s="16"/>
    </row>
    <row r="56">
      <c r="A56" s="15"/>
      <c r="B56" s="16" t="s">
        <v>41</v>
      </c>
      <c r="C56" s="17" t="s">
        <v>30</v>
      </c>
      <c r="D56" s="16" t="s">
        <v>4</v>
      </c>
      <c r="E56" s="104"/>
      <c r="F56" s="16" t="s">
        <v>4</v>
      </c>
      <c r="G56" s="20"/>
      <c r="H56" s="105"/>
      <c r="I56" s="20"/>
      <c r="J56" s="16" t="s">
        <v>4</v>
      </c>
      <c r="K56" s="20"/>
      <c r="L56" s="16" t="s">
        <v>4</v>
      </c>
      <c r="M56" s="20"/>
      <c r="N56" s="20"/>
      <c r="O56" s="20"/>
      <c r="P56" s="16" t="s">
        <v>4</v>
      </c>
      <c r="Q56" s="16" t="s">
        <v>4</v>
      </c>
      <c r="R56" s="16" t="s">
        <v>4</v>
      </c>
      <c r="S56" s="16" t="s">
        <v>4</v>
      </c>
      <c r="T56" s="105"/>
      <c r="U56" s="16" t="s">
        <v>4</v>
      </c>
      <c r="V56" s="20"/>
      <c r="W56" s="16" t="s">
        <v>4</v>
      </c>
      <c r="X56" s="43"/>
      <c r="Y56" s="20"/>
      <c r="Z56" s="20"/>
      <c r="AA56" s="16" t="s">
        <v>4</v>
      </c>
      <c r="AB56" s="20"/>
      <c r="AC56" s="20"/>
      <c r="AD56" s="16" t="s">
        <v>4</v>
      </c>
      <c r="AE56" s="43"/>
      <c r="AF56" s="43"/>
      <c r="AG56" s="43"/>
      <c r="AH56" s="20"/>
      <c r="AI56" s="16" t="s">
        <v>4</v>
      </c>
      <c r="AJ56" s="16"/>
      <c r="AK56" s="16"/>
      <c r="AL56" s="16" t="s">
        <v>4</v>
      </c>
      <c r="AM56" s="17" t="s">
        <v>4</v>
      </c>
      <c r="AN56" s="16"/>
      <c r="AO56" s="16" t="s">
        <v>4</v>
      </c>
      <c r="AP56" s="17" t="s">
        <v>4</v>
      </c>
      <c r="AQ56" s="16"/>
      <c r="AR56" s="17" t="s">
        <v>4</v>
      </c>
      <c r="AS56" s="42"/>
      <c r="AT56" s="16" t="s">
        <v>4</v>
      </c>
      <c r="AU56" s="107"/>
      <c r="AV56" s="16"/>
      <c r="AW56" s="106"/>
      <c r="AX56" s="16"/>
      <c r="AY56" s="16"/>
      <c r="AZ56" s="16"/>
      <c r="BA56" s="16" t="s">
        <v>4</v>
      </c>
      <c r="BB56" s="107"/>
      <c r="BC56" s="107"/>
      <c r="BD56" s="16"/>
      <c r="BE56" s="16"/>
      <c r="BF56" s="16"/>
      <c r="BG56" s="16"/>
      <c r="BH56" s="16"/>
      <c r="BI56" s="16"/>
      <c r="BJ56" s="16"/>
      <c r="BK56" s="16"/>
      <c r="BL56" s="16"/>
    </row>
    <row r="57">
      <c r="A57" s="15"/>
      <c r="B57" s="16" t="s">
        <v>156</v>
      </c>
      <c r="C57" s="17" t="s">
        <v>30</v>
      </c>
      <c r="D57" s="16"/>
      <c r="E57" s="104"/>
      <c r="F57" s="16"/>
      <c r="G57" s="20"/>
      <c r="H57" s="105"/>
      <c r="I57" s="16" t="s">
        <v>4</v>
      </c>
      <c r="J57" s="16" t="s">
        <v>4</v>
      </c>
      <c r="K57" s="16" t="s">
        <v>4</v>
      </c>
      <c r="L57" s="16" t="s">
        <v>4</v>
      </c>
      <c r="M57" s="16" t="s">
        <v>4</v>
      </c>
      <c r="N57" s="16" t="s">
        <v>4</v>
      </c>
      <c r="O57" s="20"/>
      <c r="P57" s="20"/>
      <c r="Q57" s="16" t="s">
        <v>4</v>
      </c>
      <c r="R57" s="16" t="s">
        <v>4</v>
      </c>
      <c r="S57" s="16" t="s">
        <v>4</v>
      </c>
      <c r="T57" s="105"/>
      <c r="U57" s="16" t="s">
        <v>4</v>
      </c>
      <c r="V57" s="16" t="s">
        <v>4</v>
      </c>
      <c r="W57" s="16" t="s">
        <v>4</v>
      </c>
      <c r="X57" s="43"/>
      <c r="Y57" s="16" t="s">
        <v>4</v>
      </c>
      <c r="Z57" s="16" t="s">
        <v>4</v>
      </c>
      <c r="AA57" s="16" t="s">
        <v>4</v>
      </c>
      <c r="AB57" s="16" t="s">
        <v>4</v>
      </c>
      <c r="AC57" s="20"/>
      <c r="AD57" s="20"/>
      <c r="AE57" s="43"/>
      <c r="AF57" s="43"/>
      <c r="AG57" s="43"/>
      <c r="AH57" s="16" t="s">
        <v>4</v>
      </c>
      <c r="AI57" s="16" t="s">
        <v>4</v>
      </c>
      <c r="AJ57" s="16" t="s">
        <v>4</v>
      </c>
      <c r="AK57" s="16" t="s">
        <v>4</v>
      </c>
      <c r="AL57" s="16" t="s">
        <v>4</v>
      </c>
      <c r="AM57" s="42"/>
      <c r="AN57" s="16" t="s">
        <v>4</v>
      </c>
      <c r="AO57" s="16" t="s">
        <v>4</v>
      </c>
      <c r="AP57" s="17" t="s">
        <v>4</v>
      </c>
      <c r="AQ57" s="16"/>
      <c r="AR57" s="42"/>
      <c r="AS57" s="42"/>
      <c r="AT57" s="16"/>
      <c r="AU57" s="107"/>
      <c r="AV57" s="16"/>
      <c r="AW57" s="106"/>
      <c r="AX57" s="16"/>
      <c r="AY57" s="16"/>
      <c r="AZ57" s="16"/>
      <c r="BA57" s="16"/>
      <c r="BB57" s="107"/>
      <c r="BC57" s="107"/>
      <c r="BD57" s="16"/>
      <c r="BE57" s="16"/>
      <c r="BF57" s="16"/>
      <c r="BG57" s="16"/>
      <c r="BH57" s="16"/>
      <c r="BI57" s="16"/>
      <c r="BJ57" s="16"/>
      <c r="BK57" s="16"/>
      <c r="BL57" s="16"/>
    </row>
    <row r="58">
      <c r="A58" s="15"/>
      <c r="B58" s="16" t="s">
        <v>157</v>
      </c>
      <c r="C58" s="17" t="s">
        <v>30</v>
      </c>
      <c r="D58" s="16"/>
      <c r="E58" s="104"/>
      <c r="F58" s="16"/>
      <c r="G58" s="20"/>
      <c r="H58" s="105"/>
      <c r="I58" s="16" t="s">
        <v>4</v>
      </c>
      <c r="J58" s="16" t="s">
        <v>4</v>
      </c>
      <c r="K58" s="16" t="s">
        <v>4</v>
      </c>
      <c r="L58" s="16" t="s">
        <v>4</v>
      </c>
      <c r="M58" s="16" t="s">
        <v>4</v>
      </c>
      <c r="N58" s="16" t="s">
        <v>4</v>
      </c>
      <c r="O58" s="20"/>
      <c r="P58" s="20"/>
      <c r="Q58" s="16" t="s">
        <v>4</v>
      </c>
      <c r="R58" s="16" t="s">
        <v>4</v>
      </c>
      <c r="S58" s="16" t="s">
        <v>4</v>
      </c>
      <c r="T58" s="105"/>
      <c r="U58" s="16" t="s">
        <v>4</v>
      </c>
      <c r="V58" s="16" t="s">
        <v>4</v>
      </c>
      <c r="W58" s="20"/>
      <c r="X58" s="43"/>
      <c r="Y58" s="20"/>
      <c r="Z58" s="20"/>
      <c r="AA58" s="20"/>
      <c r="AB58" s="20"/>
      <c r="AC58" s="20"/>
      <c r="AD58" s="20"/>
      <c r="AE58" s="43"/>
      <c r="AF58" s="43"/>
      <c r="AG58" s="43"/>
      <c r="AH58" s="20"/>
      <c r="AI58" s="20"/>
      <c r="AJ58" s="16"/>
      <c r="AK58" s="16"/>
      <c r="AL58" s="20"/>
      <c r="AM58" s="42"/>
      <c r="AN58" s="16" t="s">
        <v>4</v>
      </c>
      <c r="AO58" s="16" t="s">
        <v>4</v>
      </c>
      <c r="AP58" s="42"/>
      <c r="AQ58" s="16"/>
      <c r="AR58" s="42"/>
      <c r="AS58" s="42"/>
      <c r="AT58" s="16"/>
      <c r="AU58" s="107"/>
      <c r="AV58" s="16"/>
      <c r="AW58" s="106"/>
      <c r="AX58" s="16"/>
      <c r="AY58" s="16"/>
      <c r="AZ58" s="16"/>
      <c r="BA58" s="16"/>
      <c r="BB58" s="107"/>
      <c r="BC58" s="107"/>
      <c r="BD58" s="16"/>
      <c r="BE58" s="16"/>
      <c r="BF58" s="16"/>
      <c r="BG58" s="16"/>
      <c r="BH58" s="16"/>
      <c r="BI58" s="16"/>
      <c r="BJ58" s="16"/>
      <c r="BK58" s="16"/>
      <c r="BL58" s="16"/>
    </row>
    <row r="59">
      <c r="A59" s="15"/>
      <c r="B59" s="16" t="s">
        <v>131</v>
      </c>
      <c r="C59" s="17" t="s">
        <v>30</v>
      </c>
      <c r="D59" s="16"/>
      <c r="E59" s="104"/>
      <c r="F59" s="16"/>
      <c r="G59" s="20"/>
      <c r="H59" s="105"/>
      <c r="I59" s="16"/>
      <c r="J59" s="16"/>
      <c r="K59" s="16"/>
      <c r="L59" s="16"/>
      <c r="M59" s="16"/>
      <c r="N59" s="16"/>
      <c r="O59" s="20"/>
      <c r="P59" s="20"/>
      <c r="Q59" s="16"/>
      <c r="R59" s="16"/>
      <c r="S59" s="16"/>
      <c r="T59" s="105"/>
      <c r="U59" s="16" t="s">
        <v>4</v>
      </c>
      <c r="V59" s="16" t="s">
        <v>4</v>
      </c>
      <c r="W59" s="20"/>
      <c r="X59" s="43"/>
      <c r="Y59" s="20"/>
      <c r="Z59" s="20"/>
      <c r="AA59" s="20"/>
      <c r="AB59" s="20"/>
      <c r="AC59" s="20"/>
      <c r="AD59" s="20"/>
      <c r="AE59" s="43"/>
      <c r="AF59" s="43"/>
      <c r="AG59" s="43"/>
      <c r="AH59" s="20"/>
      <c r="AI59" s="20"/>
      <c r="AJ59" s="16"/>
      <c r="AK59" s="16"/>
      <c r="AL59" s="20"/>
      <c r="AM59" s="42"/>
      <c r="AN59" s="16"/>
      <c r="AO59" s="16"/>
      <c r="AP59" s="42"/>
      <c r="AQ59" s="16"/>
      <c r="AR59" s="42"/>
      <c r="AS59" s="42"/>
      <c r="AT59" s="16"/>
      <c r="AU59" s="107"/>
      <c r="AV59" s="16"/>
      <c r="AW59" s="106"/>
      <c r="AX59" s="16"/>
      <c r="AY59" s="16"/>
      <c r="AZ59" s="16"/>
      <c r="BA59" s="16"/>
      <c r="BB59" s="107"/>
      <c r="BC59" s="107"/>
      <c r="BD59" s="16"/>
      <c r="BE59" s="16"/>
      <c r="BF59" s="16"/>
      <c r="BG59" s="16"/>
      <c r="BH59" s="16"/>
      <c r="BI59" s="16"/>
      <c r="BJ59" s="16"/>
      <c r="BK59" s="16"/>
      <c r="BL59" s="16"/>
    </row>
    <row r="60">
      <c r="A60" s="21"/>
      <c r="B60" s="95"/>
      <c r="C60" s="42"/>
      <c r="D60" s="20"/>
      <c r="E60" s="105"/>
      <c r="F60" s="20"/>
      <c r="G60" s="20"/>
      <c r="H60" s="105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105"/>
      <c r="U60" s="20"/>
      <c r="V60" s="20"/>
      <c r="W60" s="20"/>
      <c r="X60" s="43"/>
      <c r="Y60" s="20"/>
      <c r="Z60" s="20"/>
      <c r="AA60" s="20"/>
      <c r="AB60" s="20"/>
      <c r="AC60" s="20"/>
      <c r="AD60" s="20"/>
      <c r="AE60" s="43"/>
      <c r="AF60" s="43"/>
      <c r="AG60" s="43"/>
      <c r="AH60" s="20"/>
      <c r="AI60" s="20"/>
      <c r="AJ60" s="20"/>
      <c r="AK60" s="20"/>
      <c r="AL60" s="20"/>
      <c r="AM60" s="42"/>
      <c r="AN60" s="20"/>
      <c r="AO60" s="20"/>
      <c r="AP60" s="42"/>
      <c r="AQ60" s="20"/>
      <c r="AR60" s="42"/>
      <c r="AS60" s="42"/>
      <c r="AT60" s="20"/>
      <c r="AU60" s="106"/>
      <c r="AV60" s="20"/>
      <c r="AW60" s="106"/>
      <c r="AX60" s="20"/>
      <c r="AY60" s="20"/>
      <c r="AZ60" s="20"/>
      <c r="BA60" s="20"/>
      <c r="BB60" s="106"/>
      <c r="BC60" s="106"/>
      <c r="BD60" s="20"/>
      <c r="BE60" s="20"/>
      <c r="BF60" s="20"/>
      <c r="BG60" s="20"/>
      <c r="BH60" s="20"/>
      <c r="BI60" s="20"/>
      <c r="BJ60" s="20"/>
      <c r="BK60" s="20"/>
      <c r="BL60" s="20"/>
    </row>
    <row r="61">
      <c r="A61" s="96" t="s">
        <v>158</v>
      </c>
      <c r="B61" s="92" t="s">
        <v>159</v>
      </c>
      <c r="C61" s="17" t="s">
        <v>58</v>
      </c>
      <c r="D61" s="16"/>
      <c r="E61" s="105"/>
      <c r="F61" s="16"/>
      <c r="G61" s="20"/>
      <c r="H61" s="105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105"/>
      <c r="U61" s="20"/>
      <c r="V61" s="20"/>
      <c r="W61" s="20"/>
      <c r="X61" s="43"/>
      <c r="Y61" s="20"/>
      <c r="Z61" s="20"/>
      <c r="AA61" s="20"/>
      <c r="AB61" s="20"/>
      <c r="AC61" s="20"/>
      <c r="AD61" s="20"/>
      <c r="AE61" s="43"/>
      <c r="AF61" s="43"/>
      <c r="AG61" s="43"/>
      <c r="AH61" s="20"/>
      <c r="AI61" s="20"/>
      <c r="AJ61" s="20"/>
      <c r="AK61" s="20"/>
      <c r="AL61" s="20"/>
      <c r="AM61" s="42"/>
      <c r="AN61" s="20"/>
      <c r="AO61" s="20"/>
      <c r="AP61" s="42"/>
      <c r="AQ61" s="20"/>
      <c r="AR61" s="42"/>
      <c r="AS61" s="42"/>
      <c r="AT61" s="20"/>
      <c r="AU61" s="106"/>
      <c r="AV61" s="20"/>
      <c r="AW61" s="106"/>
      <c r="AX61" s="20"/>
      <c r="AY61" s="20"/>
      <c r="AZ61" s="20"/>
      <c r="BA61" s="20"/>
      <c r="BB61" s="106"/>
      <c r="BC61" s="106"/>
      <c r="BD61" s="20"/>
      <c r="BE61" s="20"/>
      <c r="BF61" s="20"/>
      <c r="BG61" s="20"/>
      <c r="BH61" s="20"/>
      <c r="BI61" s="20"/>
      <c r="BJ61" s="20"/>
      <c r="BK61" s="20"/>
      <c r="BL61" s="20"/>
    </row>
    <row r="62">
      <c r="A62" s="15"/>
      <c r="B62" s="19" t="s">
        <v>52</v>
      </c>
      <c r="C62" s="17" t="s">
        <v>58</v>
      </c>
      <c r="D62" s="16"/>
      <c r="E62" s="105"/>
      <c r="F62" s="16"/>
      <c r="G62" s="20"/>
      <c r="H62" s="105"/>
      <c r="I62" s="20"/>
      <c r="J62" s="20"/>
      <c r="K62" s="20"/>
      <c r="L62" s="20"/>
      <c r="M62" s="16" t="s">
        <v>4</v>
      </c>
      <c r="N62" s="20"/>
      <c r="O62" s="16" t="s">
        <v>4</v>
      </c>
      <c r="P62" s="20"/>
      <c r="Q62" s="16" t="s">
        <v>4</v>
      </c>
      <c r="R62" s="16" t="s">
        <v>160</v>
      </c>
      <c r="S62" s="16" t="s">
        <v>4</v>
      </c>
      <c r="T62" s="105"/>
      <c r="U62" s="16" t="s">
        <v>4</v>
      </c>
      <c r="V62" s="20"/>
      <c r="W62" s="20"/>
      <c r="X62" s="43"/>
      <c r="Y62" s="20"/>
      <c r="Z62" s="16" t="s">
        <v>4</v>
      </c>
      <c r="AA62" s="20"/>
      <c r="AB62" s="20"/>
      <c r="AC62" s="16" t="s">
        <v>4</v>
      </c>
      <c r="AD62" s="16" t="s">
        <v>4</v>
      </c>
      <c r="AE62" s="43"/>
      <c r="AF62" s="43"/>
      <c r="AG62" s="43"/>
      <c r="AH62" s="16" t="s">
        <v>4</v>
      </c>
      <c r="AI62" s="20"/>
      <c r="AJ62" s="16" t="s">
        <v>4</v>
      </c>
      <c r="AK62" s="16" t="s">
        <v>4</v>
      </c>
      <c r="AL62" s="16" t="s">
        <v>4</v>
      </c>
      <c r="AM62" s="42"/>
      <c r="AN62" s="16" t="s">
        <v>4</v>
      </c>
      <c r="AO62" s="16" t="s">
        <v>4</v>
      </c>
      <c r="AP62" s="42"/>
      <c r="AQ62" s="20"/>
      <c r="AR62" s="17" t="s">
        <v>4</v>
      </c>
      <c r="AS62" s="17" t="s">
        <v>4</v>
      </c>
      <c r="AT62" s="16" t="s">
        <v>4</v>
      </c>
      <c r="AU62" s="106"/>
      <c r="AV62" s="20"/>
      <c r="AW62" s="106"/>
      <c r="AX62" s="20"/>
      <c r="AY62" s="20"/>
      <c r="AZ62" s="16" t="s">
        <v>4</v>
      </c>
      <c r="BA62" s="20"/>
      <c r="BB62" s="106"/>
      <c r="BC62" s="106"/>
      <c r="BD62" s="20"/>
      <c r="BE62" s="20"/>
      <c r="BF62" s="20"/>
      <c r="BG62" s="20"/>
      <c r="BH62" s="20"/>
      <c r="BI62" s="20"/>
      <c r="BJ62" s="20"/>
      <c r="BK62" s="20"/>
      <c r="BL62" s="20"/>
    </row>
    <row r="63">
      <c r="A63" s="15"/>
      <c r="B63" s="19" t="s">
        <v>161</v>
      </c>
      <c r="C63" s="17" t="s">
        <v>53</v>
      </c>
      <c r="D63" s="16"/>
      <c r="E63" s="105"/>
      <c r="F63" s="16"/>
      <c r="G63" s="20"/>
      <c r="H63" s="105"/>
      <c r="I63" s="20"/>
      <c r="J63" s="20"/>
      <c r="K63" s="20"/>
      <c r="L63" s="20"/>
      <c r="M63" s="16"/>
      <c r="N63" s="20"/>
      <c r="O63" s="16" t="s">
        <v>4</v>
      </c>
      <c r="P63" s="20"/>
      <c r="Q63" s="20"/>
      <c r="R63" s="16"/>
      <c r="S63" s="20"/>
      <c r="T63" s="105"/>
      <c r="U63" s="20"/>
      <c r="V63" s="20"/>
      <c r="W63" s="20"/>
      <c r="X63" s="43"/>
      <c r="Y63" s="20"/>
      <c r="Z63" s="20"/>
      <c r="AA63" s="20"/>
      <c r="AB63" s="20"/>
      <c r="AC63" s="20"/>
      <c r="AD63" s="20"/>
      <c r="AE63" s="43"/>
      <c r="AF63" s="43"/>
      <c r="AG63" s="43"/>
      <c r="AH63" s="20"/>
      <c r="AI63" s="20"/>
      <c r="AJ63" s="20"/>
      <c r="AK63" s="20"/>
      <c r="AL63" s="20"/>
      <c r="AM63" s="42"/>
      <c r="AN63" s="20"/>
      <c r="AO63" s="20"/>
      <c r="AP63" s="42"/>
      <c r="AQ63" s="20"/>
      <c r="AR63" s="42"/>
      <c r="AS63" s="42"/>
      <c r="AT63" s="20"/>
      <c r="AU63" s="106"/>
      <c r="AV63" s="20"/>
      <c r="AW63" s="106"/>
      <c r="AX63" s="20"/>
      <c r="AY63" s="20"/>
      <c r="AZ63" s="20"/>
      <c r="BA63" s="20"/>
      <c r="BB63" s="106"/>
      <c r="BC63" s="106"/>
      <c r="BD63" s="20"/>
      <c r="BE63" s="20"/>
      <c r="BF63" s="20"/>
      <c r="BG63" s="20"/>
      <c r="BH63" s="20"/>
      <c r="BI63" s="20"/>
      <c r="BJ63" s="20"/>
      <c r="BK63" s="20"/>
      <c r="BL63" s="20"/>
    </row>
    <row r="64">
      <c r="A64" s="15"/>
      <c r="B64" s="92" t="s">
        <v>162</v>
      </c>
      <c r="C64" s="17" t="s">
        <v>58</v>
      </c>
      <c r="D64" s="16"/>
      <c r="E64" s="105"/>
      <c r="F64" s="16"/>
      <c r="G64" s="20"/>
      <c r="H64" s="105"/>
      <c r="I64" s="20"/>
      <c r="J64" s="20"/>
      <c r="K64" s="20"/>
      <c r="L64" s="20"/>
      <c r="M64" s="20"/>
      <c r="N64" s="20"/>
      <c r="O64" s="20"/>
      <c r="P64" s="20"/>
      <c r="Q64" s="16"/>
      <c r="R64" s="20"/>
      <c r="S64" s="20"/>
      <c r="T64" s="105"/>
      <c r="U64" s="20"/>
      <c r="V64" s="20"/>
      <c r="W64" s="20"/>
      <c r="X64" s="43"/>
      <c r="Y64" s="20"/>
      <c r="Z64" s="20"/>
      <c r="AA64" s="20"/>
      <c r="AB64" s="20"/>
      <c r="AC64" s="20"/>
      <c r="AD64" s="20"/>
      <c r="AE64" s="43"/>
      <c r="AF64" s="43"/>
      <c r="AG64" s="43"/>
      <c r="AH64" s="20"/>
      <c r="AI64" s="20"/>
      <c r="AJ64" s="20"/>
      <c r="AK64" s="20"/>
      <c r="AL64" s="20"/>
      <c r="AM64" s="42"/>
      <c r="AN64" s="20"/>
      <c r="AO64" s="20"/>
      <c r="AP64" s="42"/>
      <c r="AQ64" s="20"/>
      <c r="AR64" s="42"/>
      <c r="AS64" s="42"/>
      <c r="AT64" s="20"/>
      <c r="AU64" s="106"/>
      <c r="AV64" s="20"/>
      <c r="AW64" s="106"/>
      <c r="AX64" s="20"/>
      <c r="AY64" s="20"/>
      <c r="AZ64" s="20"/>
      <c r="BA64" s="20"/>
      <c r="BB64" s="106"/>
      <c r="BC64" s="106"/>
      <c r="BD64" s="20"/>
      <c r="BE64" s="20"/>
      <c r="BF64" s="20"/>
      <c r="BG64" s="20"/>
      <c r="BH64" s="20"/>
      <c r="BI64" s="20"/>
      <c r="BJ64" s="20"/>
      <c r="BK64" s="20"/>
      <c r="BL64" s="20"/>
    </row>
    <row r="65">
      <c r="A65" s="15"/>
      <c r="B65" s="92" t="s">
        <v>163</v>
      </c>
      <c r="C65" s="17" t="s">
        <v>58</v>
      </c>
      <c r="D65" s="20"/>
      <c r="E65" s="105"/>
      <c r="F65" s="20"/>
      <c r="G65" s="16"/>
      <c r="H65" s="105"/>
      <c r="I65" s="16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105"/>
      <c r="U65" s="20"/>
      <c r="V65" s="20"/>
      <c r="W65" s="20"/>
      <c r="X65" s="43"/>
      <c r="Y65" s="20"/>
      <c r="Z65" s="20"/>
      <c r="AA65" s="20"/>
      <c r="AB65" s="20"/>
      <c r="AC65" s="20"/>
      <c r="AD65" s="20"/>
      <c r="AE65" s="43"/>
      <c r="AF65" s="43"/>
      <c r="AG65" s="43"/>
      <c r="AH65" s="20"/>
      <c r="AI65" s="20"/>
      <c r="AJ65" s="20"/>
      <c r="AK65" s="20"/>
      <c r="AL65" s="20"/>
      <c r="AM65" s="42"/>
      <c r="AN65" s="20"/>
      <c r="AO65" s="20"/>
      <c r="AP65" s="42"/>
      <c r="AQ65" s="20"/>
      <c r="AR65" s="42"/>
      <c r="AS65" s="42"/>
      <c r="AT65" s="20"/>
      <c r="AU65" s="106"/>
      <c r="AV65" s="20"/>
      <c r="AW65" s="106"/>
      <c r="AX65" s="20"/>
      <c r="AY65" s="20"/>
      <c r="AZ65" s="20"/>
      <c r="BA65" s="20"/>
      <c r="BB65" s="106"/>
      <c r="BC65" s="106"/>
      <c r="BD65" s="20"/>
      <c r="BE65" s="20"/>
      <c r="BF65" s="20"/>
      <c r="BG65" s="20"/>
      <c r="BH65" s="20"/>
      <c r="BI65" s="20"/>
      <c r="BJ65" s="20"/>
      <c r="BK65" s="20"/>
      <c r="BL65" s="20"/>
    </row>
    <row r="66">
      <c r="A66" s="15"/>
      <c r="B66" s="19" t="s">
        <v>54</v>
      </c>
      <c r="C66" s="17" t="s">
        <v>53</v>
      </c>
      <c r="D66" s="16"/>
      <c r="E66" s="104"/>
      <c r="F66" s="16" t="s">
        <v>4</v>
      </c>
      <c r="G66" s="16"/>
      <c r="H66" s="104"/>
      <c r="I66" s="16"/>
      <c r="J66" s="16" t="s">
        <v>4</v>
      </c>
      <c r="K66" s="16"/>
      <c r="L66" s="16"/>
      <c r="M66" s="16"/>
      <c r="N66" s="16"/>
      <c r="O66" s="20"/>
      <c r="P66" s="16"/>
      <c r="Q66" s="20"/>
      <c r="R66" s="16"/>
      <c r="S66" s="16" t="s">
        <v>4</v>
      </c>
      <c r="T66" s="105"/>
      <c r="U66" s="16" t="s">
        <v>4</v>
      </c>
      <c r="V66" s="16"/>
      <c r="W66" s="16"/>
      <c r="X66" s="40"/>
      <c r="Y66" s="16" t="s">
        <v>4</v>
      </c>
      <c r="Z66" s="16" t="s">
        <v>4</v>
      </c>
      <c r="AA66" s="20"/>
      <c r="AB66" s="20"/>
      <c r="AC66" s="16" t="s">
        <v>4</v>
      </c>
      <c r="AD66" s="20"/>
      <c r="AE66" s="43"/>
      <c r="AF66" s="43"/>
      <c r="AG66" s="43"/>
      <c r="AH66" s="16"/>
      <c r="AI66" s="16" t="s">
        <v>4</v>
      </c>
      <c r="AJ66" s="20"/>
      <c r="AK66" s="20"/>
      <c r="AL66" s="20"/>
      <c r="AM66" s="42"/>
      <c r="AN66" s="20"/>
      <c r="AO66" s="16" t="s">
        <v>4</v>
      </c>
      <c r="AP66" s="42"/>
      <c r="AQ66" s="16"/>
      <c r="AR66" s="17" t="s">
        <v>4</v>
      </c>
      <c r="AS66" s="42"/>
      <c r="AT66" s="16" t="s">
        <v>4</v>
      </c>
      <c r="AU66" s="107"/>
      <c r="AV66" s="16"/>
      <c r="AW66" s="106"/>
      <c r="AX66" s="16"/>
      <c r="AY66" s="16"/>
      <c r="AZ66" s="16" t="s">
        <v>4</v>
      </c>
      <c r="BA66" s="16"/>
      <c r="BB66" s="107"/>
      <c r="BC66" s="107"/>
      <c r="BD66" s="16"/>
      <c r="BE66" s="16"/>
      <c r="BF66" s="16"/>
      <c r="BG66" s="16"/>
      <c r="BH66" s="16"/>
      <c r="BI66" s="16"/>
      <c r="BJ66" s="16"/>
      <c r="BK66" s="16"/>
      <c r="BL66" s="16"/>
    </row>
    <row r="67">
      <c r="A67" s="15"/>
      <c r="B67" s="19" t="s">
        <v>55</v>
      </c>
      <c r="C67" s="17" t="s">
        <v>53</v>
      </c>
      <c r="D67" s="16" t="s">
        <v>4</v>
      </c>
      <c r="E67" s="104"/>
      <c r="F67" s="16"/>
      <c r="G67" s="16" t="s">
        <v>4</v>
      </c>
      <c r="H67" s="104"/>
      <c r="I67" s="16"/>
      <c r="J67" s="16" t="s">
        <v>4</v>
      </c>
      <c r="K67" s="16"/>
      <c r="L67" s="16"/>
      <c r="M67" s="16"/>
      <c r="N67" s="16"/>
      <c r="O67" s="20"/>
      <c r="P67" s="16"/>
      <c r="Q67" s="20"/>
      <c r="R67" s="16" t="s">
        <v>4</v>
      </c>
      <c r="S67" s="16"/>
      <c r="T67" s="104"/>
      <c r="U67" s="16"/>
      <c r="V67" s="16" t="s">
        <v>4</v>
      </c>
      <c r="W67" s="16" t="s">
        <v>4</v>
      </c>
      <c r="X67" s="40"/>
      <c r="Y67" s="16"/>
      <c r="Z67" s="20"/>
      <c r="AA67" s="16" t="s">
        <v>4</v>
      </c>
      <c r="AB67" s="16" t="s">
        <v>4</v>
      </c>
      <c r="AC67" s="16"/>
      <c r="AD67" s="16" t="s">
        <v>4</v>
      </c>
      <c r="AE67" s="40"/>
      <c r="AF67" s="40"/>
      <c r="AG67" s="40"/>
      <c r="AH67" s="16"/>
      <c r="AI67" s="16"/>
      <c r="AJ67" s="16" t="s">
        <v>4</v>
      </c>
      <c r="AK67" s="16" t="s">
        <v>4</v>
      </c>
      <c r="AL67" s="16" t="s">
        <v>4</v>
      </c>
      <c r="AM67" s="17"/>
      <c r="AN67" s="16" t="s">
        <v>4</v>
      </c>
      <c r="AO67" s="16"/>
      <c r="AP67" s="17" t="s">
        <v>4</v>
      </c>
      <c r="AQ67" s="16"/>
      <c r="AR67" s="17"/>
      <c r="AS67" s="17" t="s">
        <v>4</v>
      </c>
      <c r="AT67" s="16"/>
      <c r="AU67" s="107"/>
      <c r="AV67" s="16"/>
      <c r="AW67" s="107"/>
      <c r="AX67" s="16"/>
      <c r="AY67" s="16"/>
      <c r="AZ67" s="16"/>
      <c r="BA67" s="16"/>
      <c r="BB67" s="107"/>
      <c r="BC67" s="107"/>
      <c r="BD67" s="16"/>
      <c r="BE67" s="16"/>
      <c r="BF67" s="16"/>
      <c r="BG67" s="16"/>
      <c r="BH67" s="16"/>
      <c r="BI67" s="16"/>
      <c r="BJ67" s="16"/>
      <c r="BK67" s="16"/>
      <c r="BL67" s="16"/>
    </row>
    <row r="68">
      <c r="A68" s="15"/>
      <c r="B68" s="92" t="s">
        <v>164</v>
      </c>
      <c r="C68" s="17" t="s">
        <v>58</v>
      </c>
      <c r="D68" s="20"/>
      <c r="E68" s="105"/>
      <c r="F68" s="16"/>
      <c r="G68" s="20"/>
      <c r="H68" s="105"/>
      <c r="I68" s="20"/>
      <c r="J68" s="16"/>
      <c r="K68" s="16"/>
      <c r="L68" s="20"/>
      <c r="M68" s="20"/>
      <c r="N68" s="20"/>
      <c r="O68" s="20"/>
      <c r="P68" s="16"/>
      <c r="Q68" s="20"/>
      <c r="R68" s="20"/>
      <c r="S68" s="16"/>
      <c r="T68" s="105"/>
      <c r="U68" s="20"/>
      <c r="V68" s="20"/>
      <c r="W68" s="20"/>
      <c r="X68" s="43"/>
      <c r="Y68" s="20"/>
      <c r="Z68" s="20"/>
      <c r="AA68" s="20"/>
      <c r="AB68" s="20"/>
      <c r="AC68" s="20"/>
      <c r="AD68" s="20"/>
      <c r="AE68" s="43"/>
      <c r="AF68" s="43"/>
      <c r="AG68" s="43"/>
      <c r="AH68" s="20"/>
      <c r="AI68" s="20"/>
      <c r="AJ68" s="20"/>
      <c r="AK68" s="20"/>
      <c r="AL68" s="20"/>
      <c r="AM68" s="42"/>
      <c r="AN68" s="20"/>
      <c r="AO68" s="20"/>
      <c r="AP68" s="42"/>
      <c r="AQ68" s="20"/>
      <c r="AR68" s="42"/>
      <c r="AS68" s="42"/>
      <c r="AT68" s="20"/>
      <c r="AU68" s="106"/>
      <c r="AV68" s="20"/>
      <c r="AW68" s="106"/>
      <c r="AX68" s="20"/>
      <c r="AY68" s="20"/>
      <c r="AZ68" s="20"/>
      <c r="BA68" s="20"/>
      <c r="BB68" s="106"/>
      <c r="BC68" s="106"/>
      <c r="BD68" s="20"/>
      <c r="BE68" s="20"/>
      <c r="BF68" s="20"/>
      <c r="BG68" s="20"/>
      <c r="BH68" s="20"/>
      <c r="BI68" s="20"/>
      <c r="BJ68" s="20"/>
      <c r="BK68" s="20"/>
      <c r="BL68" s="20"/>
    </row>
    <row r="69">
      <c r="A69" s="15"/>
      <c r="B69" s="19" t="s">
        <v>112</v>
      </c>
      <c r="C69" s="17" t="s">
        <v>58</v>
      </c>
      <c r="D69" s="20"/>
      <c r="E69" s="105"/>
      <c r="F69" s="20"/>
      <c r="G69" s="20"/>
      <c r="H69" s="105"/>
      <c r="I69" s="20"/>
      <c r="J69" s="16"/>
      <c r="K69" s="16"/>
      <c r="L69" s="20"/>
      <c r="M69" s="20"/>
      <c r="N69" s="20"/>
      <c r="O69" s="20"/>
      <c r="P69" s="16"/>
      <c r="Q69" s="20"/>
      <c r="R69" s="20"/>
      <c r="S69" s="16"/>
      <c r="T69" s="105"/>
      <c r="U69" s="20"/>
      <c r="V69" s="16"/>
      <c r="W69" s="16"/>
      <c r="X69" s="43"/>
      <c r="Y69" s="20"/>
      <c r="Z69" s="20"/>
      <c r="AA69" s="20"/>
      <c r="AB69" s="20"/>
      <c r="AC69" s="20"/>
      <c r="AD69" s="20"/>
      <c r="AE69" s="43"/>
      <c r="AF69" s="43"/>
      <c r="AG69" s="43"/>
      <c r="AH69" s="20"/>
      <c r="AI69" s="20"/>
      <c r="AJ69" s="20"/>
      <c r="AK69" s="20"/>
      <c r="AL69" s="20"/>
      <c r="AM69" s="42"/>
      <c r="AN69" s="20"/>
      <c r="AO69" s="20"/>
      <c r="AP69" s="42"/>
      <c r="AQ69" s="20"/>
      <c r="AR69" s="42"/>
      <c r="AS69" s="42"/>
      <c r="AT69" s="20"/>
      <c r="AU69" s="106"/>
      <c r="AV69" s="20"/>
      <c r="AW69" s="106"/>
      <c r="AX69" s="20"/>
      <c r="AY69" s="20"/>
      <c r="AZ69" s="20"/>
      <c r="BA69" s="20"/>
      <c r="BB69" s="106"/>
      <c r="BC69" s="106"/>
      <c r="BD69" s="20"/>
      <c r="BE69" s="20"/>
      <c r="BF69" s="20"/>
      <c r="BG69" s="20"/>
      <c r="BH69" s="20"/>
      <c r="BI69" s="20"/>
      <c r="BJ69" s="20"/>
      <c r="BK69" s="20"/>
      <c r="BL69" s="20"/>
    </row>
    <row r="70">
      <c r="A70" s="15"/>
      <c r="B70" s="92" t="s">
        <v>165</v>
      </c>
      <c r="C70" s="17" t="s">
        <v>58</v>
      </c>
      <c r="D70" s="20"/>
      <c r="E70" s="105"/>
      <c r="F70" s="20"/>
      <c r="G70" s="20"/>
      <c r="H70" s="105"/>
      <c r="I70" s="16"/>
      <c r="J70" s="16"/>
      <c r="K70" s="16"/>
      <c r="L70" s="20"/>
      <c r="M70" s="20"/>
      <c r="N70" s="20"/>
      <c r="O70" s="20"/>
      <c r="P70" s="16"/>
      <c r="Q70" s="20"/>
      <c r="R70" s="20"/>
      <c r="S70" s="16"/>
      <c r="T70" s="105"/>
      <c r="U70" s="20"/>
      <c r="V70" s="16"/>
      <c r="W70" s="16"/>
      <c r="X70" s="43"/>
      <c r="Y70" s="20"/>
      <c r="Z70" s="20"/>
      <c r="AA70" s="20"/>
      <c r="AB70" s="20"/>
      <c r="AC70" s="20"/>
      <c r="AD70" s="20"/>
      <c r="AE70" s="43"/>
      <c r="AF70" s="43"/>
      <c r="AG70" s="43"/>
      <c r="AH70" s="20"/>
      <c r="AI70" s="20"/>
      <c r="AJ70" s="20"/>
      <c r="AK70" s="20"/>
      <c r="AL70" s="20"/>
      <c r="AM70" s="42"/>
      <c r="AN70" s="20"/>
      <c r="AO70" s="20"/>
      <c r="AP70" s="42"/>
      <c r="AQ70" s="20"/>
      <c r="AR70" s="42"/>
      <c r="AS70" s="42"/>
      <c r="AT70" s="20"/>
      <c r="AU70" s="106"/>
      <c r="AV70" s="20"/>
      <c r="AW70" s="106"/>
      <c r="AX70" s="20"/>
      <c r="AY70" s="20"/>
      <c r="AZ70" s="20"/>
      <c r="BA70" s="20"/>
      <c r="BB70" s="106"/>
      <c r="BC70" s="106"/>
      <c r="BD70" s="20"/>
      <c r="BE70" s="20"/>
      <c r="BF70" s="20"/>
      <c r="BG70" s="20"/>
      <c r="BH70" s="20"/>
      <c r="BI70" s="20"/>
      <c r="BJ70" s="20"/>
      <c r="BK70" s="20"/>
      <c r="BL70" s="20"/>
    </row>
    <row r="71">
      <c r="A71" s="15"/>
      <c r="B71" s="92" t="s">
        <v>166</v>
      </c>
      <c r="C71" s="17" t="s">
        <v>58</v>
      </c>
      <c r="D71" s="20"/>
      <c r="E71" s="105"/>
      <c r="F71" s="20"/>
      <c r="G71" s="20"/>
      <c r="H71" s="105"/>
      <c r="I71" s="16"/>
      <c r="J71" s="16"/>
      <c r="K71" s="16"/>
      <c r="L71" s="20"/>
      <c r="M71" s="20"/>
      <c r="N71" s="20"/>
      <c r="O71" s="20"/>
      <c r="P71" s="16"/>
      <c r="Q71" s="20"/>
      <c r="R71" s="20"/>
      <c r="S71" s="16"/>
      <c r="T71" s="105"/>
      <c r="U71" s="20"/>
      <c r="V71" s="16"/>
      <c r="W71" s="16"/>
      <c r="X71" s="43"/>
      <c r="Y71" s="20"/>
      <c r="Z71" s="20"/>
      <c r="AA71" s="20"/>
      <c r="AB71" s="20"/>
      <c r="AC71" s="20"/>
      <c r="AD71" s="20"/>
      <c r="AE71" s="43"/>
      <c r="AF71" s="43"/>
      <c r="AG71" s="43"/>
      <c r="AH71" s="20"/>
      <c r="AI71" s="20"/>
      <c r="AJ71" s="20"/>
      <c r="AK71" s="20"/>
      <c r="AL71" s="20"/>
      <c r="AM71" s="42"/>
      <c r="AN71" s="20"/>
      <c r="AO71" s="20"/>
      <c r="AP71" s="42"/>
      <c r="AQ71" s="20"/>
      <c r="AR71" s="42"/>
      <c r="AS71" s="42"/>
      <c r="AT71" s="20"/>
      <c r="AU71" s="106"/>
      <c r="AV71" s="20"/>
      <c r="AW71" s="106"/>
      <c r="AX71" s="20"/>
      <c r="AY71" s="20"/>
      <c r="AZ71" s="20"/>
      <c r="BA71" s="20"/>
      <c r="BB71" s="106"/>
      <c r="BC71" s="106"/>
      <c r="BD71" s="20"/>
      <c r="BE71" s="20"/>
      <c r="BF71" s="20"/>
      <c r="BG71" s="20"/>
      <c r="BH71" s="20"/>
      <c r="BI71" s="20"/>
      <c r="BJ71" s="20"/>
      <c r="BK71" s="20"/>
      <c r="BL71" s="20"/>
    </row>
    <row r="72">
      <c r="A72" s="15"/>
      <c r="B72" s="92" t="s">
        <v>167</v>
      </c>
      <c r="C72" s="17" t="s">
        <v>58</v>
      </c>
      <c r="D72" s="20"/>
      <c r="E72" s="105"/>
      <c r="F72" s="20"/>
      <c r="G72" s="20"/>
      <c r="H72" s="105"/>
      <c r="I72" s="16"/>
      <c r="J72" s="16"/>
      <c r="K72" s="16"/>
      <c r="L72" s="20"/>
      <c r="M72" s="20"/>
      <c r="N72" s="20"/>
      <c r="O72" s="20"/>
      <c r="P72" s="16"/>
      <c r="Q72" s="20"/>
      <c r="R72" s="20"/>
      <c r="S72" s="16"/>
      <c r="T72" s="105"/>
      <c r="U72" s="20"/>
      <c r="V72" s="16"/>
      <c r="W72" s="16"/>
      <c r="X72" s="43"/>
      <c r="Y72" s="20"/>
      <c r="Z72" s="20"/>
      <c r="AA72" s="20"/>
      <c r="AB72" s="20"/>
      <c r="AC72" s="20"/>
      <c r="AD72" s="20"/>
      <c r="AE72" s="43"/>
      <c r="AF72" s="43"/>
      <c r="AG72" s="43"/>
      <c r="AH72" s="20"/>
      <c r="AI72" s="20"/>
      <c r="AJ72" s="20"/>
      <c r="AK72" s="20"/>
      <c r="AL72" s="20"/>
      <c r="AM72" s="42"/>
      <c r="AN72" s="20"/>
      <c r="AO72" s="20"/>
      <c r="AP72" s="42"/>
      <c r="AQ72" s="20"/>
      <c r="AR72" s="42"/>
      <c r="AS72" s="42"/>
      <c r="AT72" s="20"/>
      <c r="AU72" s="106"/>
      <c r="AV72" s="20"/>
      <c r="AW72" s="106"/>
      <c r="AX72" s="20"/>
      <c r="AY72" s="20"/>
      <c r="AZ72" s="20"/>
      <c r="BA72" s="20"/>
      <c r="BB72" s="106"/>
      <c r="BC72" s="106"/>
      <c r="BD72" s="20"/>
      <c r="BE72" s="20"/>
      <c r="BF72" s="20"/>
      <c r="BG72" s="20"/>
      <c r="BH72" s="20"/>
      <c r="BI72" s="20"/>
      <c r="BJ72" s="20"/>
      <c r="BK72" s="20"/>
      <c r="BL72" s="20"/>
    </row>
    <row r="73">
      <c r="A73" s="15"/>
      <c r="B73" s="92" t="s">
        <v>168</v>
      </c>
      <c r="C73" s="17" t="s">
        <v>58</v>
      </c>
      <c r="D73" s="20"/>
      <c r="E73" s="105"/>
      <c r="F73" s="20"/>
      <c r="G73" s="20"/>
      <c r="H73" s="105"/>
      <c r="I73" s="16"/>
      <c r="J73" s="16"/>
      <c r="K73" s="16"/>
      <c r="L73" s="20"/>
      <c r="M73" s="20"/>
      <c r="N73" s="20"/>
      <c r="O73" s="16"/>
      <c r="P73" s="16"/>
      <c r="Q73" s="20"/>
      <c r="R73" s="20"/>
      <c r="S73" s="16"/>
      <c r="T73" s="105"/>
      <c r="U73" s="20"/>
      <c r="V73" s="16"/>
      <c r="W73" s="16"/>
      <c r="X73" s="43"/>
      <c r="Y73" s="20"/>
      <c r="Z73" s="20"/>
      <c r="AA73" s="20"/>
      <c r="AB73" s="20"/>
      <c r="AC73" s="20"/>
      <c r="AD73" s="20"/>
      <c r="AE73" s="43"/>
      <c r="AF73" s="43"/>
      <c r="AG73" s="43"/>
      <c r="AH73" s="20"/>
      <c r="AI73" s="20"/>
      <c r="AJ73" s="20"/>
      <c r="AK73" s="20"/>
      <c r="AL73" s="20"/>
      <c r="AM73" s="42"/>
      <c r="AN73" s="20"/>
      <c r="AO73" s="20"/>
      <c r="AP73" s="42"/>
      <c r="AQ73" s="20"/>
      <c r="AR73" s="42"/>
      <c r="AS73" s="42"/>
      <c r="AT73" s="20"/>
      <c r="AU73" s="106"/>
      <c r="AV73" s="20"/>
      <c r="AW73" s="106"/>
      <c r="AX73" s="20"/>
      <c r="AY73" s="20"/>
      <c r="AZ73" s="20"/>
      <c r="BA73" s="20"/>
      <c r="BB73" s="106"/>
      <c r="BC73" s="106"/>
      <c r="BD73" s="20"/>
      <c r="BE73" s="20"/>
      <c r="BF73" s="20"/>
      <c r="BG73" s="20"/>
      <c r="BH73" s="20"/>
      <c r="BI73" s="20"/>
      <c r="BJ73" s="20"/>
      <c r="BK73" s="20"/>
      <c r="BL73" s="20"/>
    </row>
    <row r="74">
      <c r="A74" s="15"/>
      <c r="B74" s="16" t="s">
        <v>169</v>
      </c>
      <c r="C74" s="17" t="s">
        <v>58</v>
      </c>
      <c r="D74" s="20"/>
      <c r="E74" s="105"/>
      <c r="F74" s="20"/>
      <c r="G74" s="20"/>
      <c r="H74" s="105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105"/>
      <c r="U74" s="20"/>
      <c r="V74" s="20"/>
      <c r="W74" s="20"/>
      <c r="X74" s="43"/>
      <c r="Y74" s="16"/>
      <c r="Z74" s="20"/>
      <c r="AA74" s="20"/>
      <c r="AB74" s="20"/>
      <c r="AC74" s="20"/>
      <c r="AD74" s="20"/>
      <c r="AE74" s="43"/>
      <c r="AF74" s="43"/>
      <c r="AG74" s="43"/>
      <c r="AH74" s="20"/>
      <c r="AI74" s="20"/>
      <c r="AJ74" s="20"/>
      <c r="AK74" s="16"/>
      <c r="AL74" s="20"/>
      <c r="AM74" s="42"/>
      <c r="AN74" s="20"/>
      <c r="AO74" s="20"/>
      <c r="AP74" s="42"/>
      <c r="AQ74" s="20"/>
      <c r="AR74" s="42"/>
      <c r="AS74" s="42"/>
      <c r="AT74" s="20"/>
      <c r="AU74" s="106"/>
      <c r="AV74" s="16"/>
      <c r="AW74" s="106"/>
      <c r="AX74" s="20"/>
      <c r="AY74" s="20"/>
      <c r="AZ74" s="20"/>
      <c r="BA74" s="20"/>
      <c r="BB74" s="106"/>
      <c r="BC74" s="106"/>
      <c r="BD74" s="20"/>
      <c r="BE74" s="20"/>
      <c r="BF74" s="20"/>
      <c r="BG74" s="20"/>
      <c r="BH74" s="20"/>
      <c r="BI74" s="20"/>
      <c r="BJ74" s="20"/>
      <c r="BK74" s="20"/>
      <c r="BL74" s="20"/>
    </row>
    <row r="75">
      <c r="A75" s="15"/>
      <c r="B75" s="16" t="s">
        <v>170</v>
      </c>
      <c r="C75" s="17" t="s">
        <v>58</v>
      </c>
      <c r="D75" s="20"/>
      <c r="E75" s="105"/>
      <c r="F75" s="20"/>
      <c r="G75" s="20"/>
      <c r="H75" s="105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105"/>
      <c r="U75" s="20"/>
      <c r="V75" s="20"/>
      <c r="W75" s="20"/>
      <c r="X75" s="43"/>
      <c r="Y75" s="16"/>
      <c r="Z75" s="20"/>
      <c r="AA75" s="20"/>
      <c r="AB75" s="20"/>
      <c r="AC75" s="20"/>
      <c r="AD75" s="20"/>
      <c r="AE75" s="43"/>
      <c r="AF75" s="43"/>
      <c r="AG75" s="43"/>
      <c r="AH75" s="20"/>
      <c r="AI75" s="20"/>
      <c r="AJ75" s="20"/>
      <c r="AK75" s="16"/>
      <c r="AL75" s="20"/>
      <c r="AM75" s="42"/>
      <c r="AN75" s="20"/>
      <c r="AO75" s="20"/>
      <c r="AP75" s="42"/>
      <c r="AQ75" s="20"/>
      <c r="AR75" s="42"/>
      <c r="AS75" s="42"/>
      <c r="AT75" s="20"/>
      <c r="AU75" s="106"/>
      <c r="AV75" s="16"/>
      <c r="AW75" s="106"/>
      <c r="AX75" s="20"/>
      <c r="AY75" s="20"/>
      <c r="AZ75" s="20"/>
      <c r="BA75" s="20"/>
      <c r="BB75" s="106"/>
      <c r="BC75" s="106"/>
      <c r="BD75" s="20"/>
      <c r="BE75" s="20"/>
      <c r="BF75" s="20"/>
      <c r="BG75" s="20"/>
      <c r="BH75" s="20"/>
      <c r="BI75" s="20"/>
      <c r="BJ75" s="20"/>
      <c r="BK75" s="20"/>
      <c r="BL75" s="20"/>
    </row>
    <row r="76">
      <c r="A76" s="15"/>
      <c r="B76" s="34" t="s">
        <v>171</v>
      </c>
      <c r="C76" s="17" t="s">
        <v>58</v>
      </c>
      <c r="D76" s="20"/>
      <c r="E76" s="105"/>
      <c r="F76" s="20"/>
      <c r="G76" s="20"/>
      <c r="H76" s="105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105"/>
      <c r="U76" s="20"/>
      <c r="V76" s="20"/>
      <c r="W76" s="20"/>
      <c r="X76" s="43"/>
      <c r="Y76" s="16"/>
      <c r="Z76" s="20"/>
      <c r="AA76" s="16"/>
      <c r="AB76" s="16"/>
      <c r="AC76" s="16"/>
      <c r="AD76" s="16"/>
      <c r="AE76" s="40"/>
      <c r="AF76" s="40"/>
      <c r="AG76" s="40"/>
      <c r="AH76" s="16"/>
      <c r="AI76" s="16"/>
      <c r="AJ76" s="16"/>
      <c r="AK76" s="16"/>
      <c r="AL76" s="16"/>
      <c r="AM76" s="17"/>
      <c r="AN76" s="16"/>
      <c r="AO76" s="16"/>
      <c r="AP76" s="17"/>
      <c r="AQ76" s="16"/>
      <c r="AR76" s="17"/>
      <c r="AS76" s="17"/>
      <c r="AT76" s="16"/>
      <c r="AU76" s="107"/>
      <c r="AV76" s="16"/>
      <c r="AW76" s="107"/>
      <c r="AX76" s="16"/>
      <c r="AY76" s="16"/>
      <c r="AZ76" s="16"/>
      <c r="BA76" s="16"/>
      <c r="BB76" s="107"/>
      <c r="BC76" s="107"/>
      <c r="BD76" s="16"/>
      <c r="BE76" s="16"/>
      <c r="BF76" s="16"/>
      <c r="BG76" s="16"/>
      <c r="BH76" s="16"/>
      <c r="BI76" s="16"/>
      <c r="BJ76" s="16"/>
      <c r="BK76" s="16"/>
      <c r="BL76" s="16"/>
    </row>
    <row r="77">
      <c r="A77" s="15"/>
      <c r="B77" s="16" t="s">
        <v>172</v>
      </c>
      <c r="C77" s="17" t="s">
        <v>58</v>
      </c>
      <c r="D77" s="20"/>
      <c r="E77" s="105"/>
      <c r="F77" s="20"/>
      <c r="G77" s="20"/>
      <c r="H77" s="105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105"/>
      <c r="U77" s="16" t="s">
        <v>4</v>
      </c>
      <c r="V77" s="20"/>
      <c r="W77" s="20"/>
      <c r="X77" s="43"/>
      <c r="Y77" s="16"/>
      <c r="Z77" s="20"/>
      <c r="AA77" s="16"/>
      <c r="AB77" s="16"/>
      <c r="AC77" s="16"/>
      <c r="AD77" s="16"/>
      <c r="AE77" s="40"/>
      <c r="AF77" s="40"/>
      <c r="AG77" s="40"/>
      <c r="AH77" s="16"/>
      <c r="AI77" s="16"/>
      <c r="AJ77" s="16"/>
      <c r="AK77" s="16"/>
      <c r="AL77" s="16"/>
      <c r="AM77" s="17"/>
      <c r="AN77" s="16"/>
      <c r="AO77" s="16"/>
      <c r="AP77" s="17"/>
      <c r="AQ77" s="16"/>
      <c r="AR77" s="17"/>
      <c r="AS77" s="17"/>
      <c r="AT77" s="16"/>
      <c r="AU77" s="107"/>
      <c r="AV77" s="16"/>
      <c r="AW77" s="107"/>
      <c r="AX77" s="16"/>
      <c r="AY77" s="16"/>
      <c r="AZ77" s="16"/>
      <c r="BA77" s="16"/>
      <c r="BB77" s="107"/>
      <c r="BC77" s="107"/>
      <c r="BD77" s="16"/>
      <c r="BE77" s="16"/>
      <c r="BF77" s="16"/>
      <c r="BG77" s="16"/>
      <c r="BH77" s="16"/>
      <c r="BI77" s="16"/>
      <c r="BJ77" s="16"/>
      <c r="BK77" s="16"/>
      <c r="BL77" s="16"/>
    </row>
    <row r="78">
      <c r="A78" s="15"/>
      <c r="B78" s="110" t="s">
        <v>173</v>
      </c>
      <c r="C78" s="111" t="s">
        <v>58</v>
      </c>
      <c r="D78" s="112"/>
      <c r="E78" s="113"/>
      <c r="F78" s="112"/>
      <c r="G78" s="112"/>
      <c r="H78" s="113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3"/>
      <c r="U78" s="110" t="s">
        <v>4</v>
      </c>
      <c r="V78" s="112"/>
      <c r="W78" s="112"/>
      <c r="X78" s="114"/>
      <c r="Y78" s="26"/>
      <c r="Z78" s="112"/>
      <c r="AA78" s="26"/>
      <c r="AB78" s="26"/>
      <c r="AC78" s="26"/>
      <c r="AD78" s="26"/>
      <c r="AE78" s="115"/>
      <c r="AF78" s="115"/>
      <c r="AG78" s="115"/>
      <c r="AH78" s="26"/>
      <c r="AI78" s="26"/>
      <c r="AJ78" s="26"/>
      <c r="AK78" s="26"/>
      <c r="AL78" s="26"/>
      <c r="AM78" s="116"/>
      <c r="AN78" s="26"/>
      <c r="AO78" s="26"/>
      <c r="AP78" s="116"/>
      <c r="AQ78" s="26"/>
      <c r="AR78" s="116"/>
      <c r="AS78" s="116"/>
      <c r="AT78" s="26"/>
      <c r="AU78" s="117"/>
      <c r="AV78" s="110"/>
      <c r="AW78" s="118"/>
      <c r="AX78" s="110"/>
      <c r="AY78" s="110"/>
      <c r="AZ78" s="110"/>
      <c r="BA78" s="110"/>
      <c r="BB78" s="119"/>
      <c r="BC78" s="119"/>
      <c r="BD78" s="110"/>
      <c r="BE78" s="110"/>
      <c r="BF78" s="110"/>
      <c r="BG78" s="110"/>
      <c r="BH78" s="110"/>
      <c r="BI78" s="110"/>
      <c r="BJ78" s="110"/>
      <c r="BK78" s="110"/>
      <c r="BL78" s="110"/>
    </row>
    <row r="79">
      <c r="A79" s="15"/>
      <c r="B79" s="16" t="s">
        <v>174</v>
      </c>
      <c r="C79" s="17" t="s">
        <v>58</v>
      </c>
      <c r="D79" s="20"/>
      <c r="E79" s="105"/>
      <c r="F79" s="20"/>
      <c r="G79" s="20"/>
      <c r="H79" s="105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105"/>
      <c r="U79" s="20"/>
      <c r="V79" s="20"/>
      <c r="W79" s="20"/>
      <c r="X79" s="43"/>
      <c r="Y79" s="16"/>
      <c r="Z79" s="20"/>
      <c r="AA79" s="16"/>
      <c r="AB79" s="16"/>
      <c r="AC79" s="16"/>
      <c r="AD79" s="16"/>
      <c r="AE79" s="40"/>
      <c r="AF79" s="40"/>
      <c r="AG79" s="40"/>
      <c r="AH79" s="16"/>
      <c r="AI79" s="16"/>
      <c r="AJ79" s="16"/>
      <c r="AK79" s="16"/>
      <c r="AL79" s="16"/>
      <c r="AM79" s="17"/>
      <c r="AN79" s="16"/>
      <c r="AO79" s="16"/>
      <c r="AP79" s="17"/>
      <c r="AQ79" s="16"/>
      <c r="AR79" s="17"/>
      <c r="AS79" s="17"/>
      <c r="AT79" s="16"/>
      <c r="AU79" s="107"/>
      <c r="AV79" s="16"/>
      <c r="AW79" s="107"/>
      <c r="AX79" s="16"/>
      <c r="AY79" s="16"/>
      <c r="AZ79" s="16"/>
      <c r="BA79" s="16"/>
      <c r="BB79" s="107"/>
      <c r="BC79" s="107"/>
      <c r="BD79" s="16"/>
      <c r="BE79" s="16"/>
      <c r="BF79" s="16"/>
      <c r="BG79" s="16"/>
      <c r="BH79" s="16"/>
      <c r="BI79" s="16"/>
      <c r="BJ79" s="16"/>
      <c r="BK79" s="16"/>
      <c r="BL79" s="16"/>
    </row>
    <row r="80">
      <c r="A80" s="15"/>
      <c r="B80" s="34" t="s">
        <v>175</v>
      </c>
      <c r="C80" s="17" t="s">
        <v>58</v>
      </c>
      <c r="D80" s="20"/>
      <c r="E80" s="105"/>
      <c r="F80" s="20"/>
      <c r="G80" s="20"/>
      <c r="H80" s="105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105"/>
      <c r="U80" s="20"/>
      <c r="V80" s="20"/>
      <c r="W80" s="20"/>
      <c r="X80" s="43"/>
      <c r="Y80" s="16"/>
      <c r="Z80" s="20"/>
      <c r="AA80" s="16"/>
      <c r="AB80" s="16"/>
      <c r="AC80" s="16"/>
      <c r="AD80" s="16"/>
      <c r="AE80" s="40"/>
      <c r="AF80" s="40"/>
      <c r="AG80" s="40"/>
      <c r="AH80" s="16"/>
      <c r="AI80" s="16"/>
      <c r="AJ80" s="16"/>
      <c r="AK80" s="16"/>
      <c r="AL80" s="16"/>
      <c r="AM80" s="17"/>
      <c r="AN80" s="16"/>
      <c r="AO80" s="16"/>
      <c r="AP80" s="17"/>
      <c r="AQ80" s="16"/>
      <c r="AR80" s="17"/>
      <c r="AS80" s="17"/>
      <c r="AT80" s="16"/>
      <c r="AU80" s="107"/>
      <c r="AV80" s="16"/>
      <c r="AW80" s="107"/>
      <c r="AX80" s="16"/>
      <c r="AY80" s="16"/>
      <c r="AZ80" s="16"/>
      <c r="BA80" s="16"/>
      <c r="BB80" s="107"/>
      <c r="BC80" s="107"/>
      <c r="BD80" s="16"/>
      <c r="BE80" s="16"/>
      <c r="BF80" s="16"/>
      <c r="BG80" s="16"/>
      <c r="BH80" s="16"/>
      <c r="BI80" s="16"/>
      <c r="BJ80" s="16"/>
      <c r="BK80" s="16"/>
      <c r="BL80" s="16"/>
    </row>
    <row r="81">
      <c r="A81" s="15"/>
      <c r="B81" s="16" t="s">
        <v>176</v>
      </c>
      <c r="C81" s="17" t="s">
        <v>58</v>
      </c>
      <c r="D81" s="20"/>
      <c r="E81" s="105"/>
      <c r="F81" s="20"/>
      <c r="G81" s="20"/>
      <c r="H81" s="105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105"/>
      <c r="U81" s="20"/>
      <c r="V81" s="16" t="s">
        <v>4</v>
      </c>
      <c r="W81" s="20"/>
      <c r="X81" s="43"/>
      <c r="Y81" s="16"/>
      <c r="Z81" s="20"/>
      <c r="AA81" s="16"/>
      <c r="AB81" s="16"/>
      <c r="AC81" s="16"/>
      <c r="AD81" s="16" t="s">
        <v>4</v>
      </c>
      <c r="AE81" s="40"/>
      <c r="AF81" s="40"/>
      <c r="AG81" s="40"/>
      <c r="AH81" s="16"/>
      <c r="AI81" s="16"/>
      <c r="AJ81" s="16"/>
      <c r="AK81" s="16"/>
      <c r="AL81" s="16"/>
      <c r="AM81" s="17"/>
      <c r="AN81" s="16"/>
      <c r="AO81" s="16"/>
      <c r="AP81" s="17"/>
      <c r="AQ81" s="16"/>
      <c r="AR81" s="17"/>
      <c r="AS81" s="17"/>
      <c r="AT81" s="16"/>
      <c r="AU81" s="107"/>
      <c r="AV81" s="16"/>
      <c r="AW81" s="107"/>
      <c r="AX81" s="16"/>
      <c r="AY81" s="16"/>
      <c r="AZ81" s="16"/>
      <c r="BA81" s="16"/>
      <c r="BB81" s="107"/>
      <c r="BC81" s="107"/>
      <c r="BD81" s="16"/>
      <c r="BE81" s="16"/>
      <c r="BF81" s="16"/>
      <c r="BG81" s="16"/>
      <c r="BH81" s="16"/>
      <c r="BI81" s="16"/>
      <c r="BJ81" s="16"/>
      <c r="BK81" s="16"/>
      <c r="BL81" s="16"/>
    </row>
    <row r="82">
      <c r="A82" s="15"/>
      <c r="B82" s="16" t="s">
        <v>177</v>
      </c>
      <c r="C82" s="17" t="s">
        <v>53</v>
      </c>
      <c r="D82" s="16" t="s">
        <v>4</v>
      </c>
      <c r="E82" s="104"/>
      <c r="F82" s="16" t="s">
        <v>4</v>
      </c>
      <c r="G82" s="20"/>
      <c r="H82" s="105"/>
      <c r="I82" s="20"/>
      <c r="J82" s="16" t="s">
        <v>4</v>
      </c>
      <c r="K82" s="20"/>
      <c r="L82" s="16" t="s">
        <v>4</v>
      </c>
      <c r="M82" s="20"/>
      <c r="N82" s="20"/>
      <c r="O82" s="20"/>
      <c r="P82" s="20"/>
      <c r="Q82" s="20"/>
      <c r="R82" s="20"/>
      <c r="S82" s="20"/>
      <c r="T82" s="105"/>
      <c r="U82" s="16" t="s">
        <v>4</v>
      </c>
      <c r="V82" s="20"/>
      <c r="W82" s="20"/>
      <c r="X82" s="43"/>
      <c r="Y82" s="16"/>
      <c r="Z82" s="20"/>
      <c r="AA82" s="16"/>
      <c r="AB82" s="16" t="s">
        <v>4</v>
      </c>
      <c r="AC82" s="16"/>
      <c r="AD82" s="16" t="s">
        <v>4</v>
      </c>
      <c r="AE82" s="40"/>
      <c r="AF82" s="40"/>
      <c r="AG82" s="40"/>
      <c r="AH82" s="16" t="s">
        <v>4</v>
      </c>
      <c r="AI82" s="16"/>
      <c r="AJ82" s="16" t="s">
        <v>4</v>
      </c>
      <c r="AK82" s="16" t="s">
        <v>4</v>
      </c>
      <c r="AL82" s="16"/>
      <c r="AM82" s="17" t="s">
        <v>4</v>
      </c>
      <c r="AN82" s="16"/>
      <c r="AO82" s="16"/>
      <c r="AP82" s="17"/>
      <c r="AQ82" s="16" t="s">
        <v>4</v>
      </c>
      <c r="AR82" s="17"/>
      <c r="AS82" s="17"/>
      <c r="AT82" s="16" t="s">
        <v>4</v>
      </c>
      <c r="AU82" s="107"/>
      <c r="AV82" s="16"/>
      <c r="AW82" s="107"/>
      <c r="AX82" s="16"/>
      <c r="AY82" s="16"/>
      <c r="AZ82" s="16" t="s">
        <v>4</v>
      </c>
      <c r="BA82" s="16"/>
      <c r="BB82" s="107"/>
      <c r="BC82" s="107"/>
      <c r="BD82" s="16"/>
      <c r="BE82" s="16"/>
      <c r="BF82" s="16"/>
      <c r="BG82" s="16"/>
      <c r="BH82" s="16"/>
      <c r="BI82" s="16"/>
      <c r="BJ82" s="16"/>
      <c r="BK82" s="16"/>
      <c r="BL82" s="16"/>
    </row>
    <row r="83">
      <c r="A83" s="15"/>
      <c r="B83" s="16" t="s">
        <v>178</v>
      </c>
      <c r="C83" s="17" t="s">
        <v>58</v>
      </c>
      <c r="D83" s="20"/>
      <c r="E83" s="105"/>
      <c r="F83" s="20"/>
      <c r="G83" s="20"/>
      <c r="H83" s="105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105"/>
      <c r="U83" s="20"/>
      <c r="V83" s="20"/>
      <c r="W83" s="20"/>
      <c r="X83" s="43"/>
      <c r="Y83" s="16"/>
      <c r="Z83" s="20"/>
      <c r="AA83" s="16"/>
      <c r="AB83" s="16"/>
      <c r="AC83" s="16"/>
      <c r="AD83" s="16"/>
      <c r="AE83" s="40"/>
      <c r="AF83" s="40"/>
      <c r="AG83" s="40"/>
      <c r="AH83" s="16"/>
      <c r="AI83" s="16"/>
      <c r="AJ83" s="16"/>
      <c r="AK83" s="16"/>
      <c r="AL83" s="16"/>
      <c r="AM83" s="17"/>
      <c r="AN83" s="16"/>
      <c r="AO83" s="16"/>
      <c r="AP83" s="17"/>
      <c r="AQ83" s="16"/>
      <c r="AR83" s="17"/>
      <c r="AS83" s="17"/>
      <c r="AT83" s="16"/>
      <c r="AU83" s="107"/>
      <c r="AV83" s="16"/>
      <c r="AW83" s="107"/>
      <c r="AX83" s="16"/>
      <c r="AY83" s="16"/>
      <c r="AZ83" s="16"/>
      <c r="BA83" s="16"/>
      <c r="BB83" s="107"/>
      <c r="BC83" s="107"/>
      <c r="BD83" s="16"/>
      <c r="BE83" s="16"/>
      <c r="BF83" s="16"/>
      <c r="BG83" s="16"/>
      <c r="BH83" s="16"/>
      <c r="BI83" s="16"/>
      <c r="BJ83" s="16"/>
      <c r="BK83" s="16"/>
      <c r="BL83" s="16"/>
    </row>
    <row r="84">
      <c r="A84" s="15"/>
      <c r="B84" s="34" t="s">
        <v>179</v>
      </c>
      <c r="C84" s="17" t="s">
        <v>58</v>
      </c>
      <c r="D84" s="20"/>
      <c r="E84" s="105"/>
      <c r="F84" s="20"/>
      <c r="G84" s="20"/>
      <c r="H84" s="105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105"/>
      <c r="U84" s="20"/>
      <c r="V84" s="20"/>
      <c r="W84" s="20"/>
      <c r="X84" s="43"/>
      <c r="Y84" s="16"/>
      <c r="Z84" s="20"/>
      <c r="AA84" s="16"/>
      <c r="AB84" s="16"/>
      <c r="AC84" s="16"/>
      <c r="AD84" s="16"/>
      <c r="AE84" s="40"/>
      <c r="AF84" s="40"/>
      <c r="AG84" s="40"/>
      <c r="AH84" s="16"/>
      <c r="AI84" s="16"/>
      <c r="AJ84" s="16"/>
      <c r="AK84" s="16"/>
      <c r="AL84" s="16"/>
      <c r="AM84" s="17"/>
      <c r="AN84" s="16"/>
      <c r="AO84" s="16"/>
      <c r="AP84" s="17"/>
      <c r="AQ84" s="16"/>
      <c r="AR84" s="17"/>
      <c r="AS84" s="17"/>
      <c r="AT84" s="16"/>
      <c r="AU84" s="107"/>
      <c r="AV84" s="16"/>
      <c r="AW84" s="107"/>
      <c r="AX84" s="16"/>
      <c r="AY84" s="16"/>
      <c r="AZ84" s="16"/>
      <c r="BA84" s="16"/>
      <c r="BB84" s="107"/>
      <c r="BC84" s="107"/>
      <c r="BD84" s="16"/>
      <c r="BE84" s="16"/>
      <c r="BF84" s="16"/>
      <c r="BG84" s="16"/>
      <c r="BH84" s="16"/>
      <c r="BI84" s="16"/>
      <c r="BJ84" s="16"/>
      <c r="BK84" s="16"/>
      <c r="BL84" s="16"/>
    </row>
    <row r="85">
      <c r="A85" s="15"/>
      <c r="B85" s="34" t="s">
        <v>180</v>
      </c>
      <c r="C85" s="17" t="s">
        <v>58</v>
      </c>
      <c r="D85" s="20"/>
      <c r="E85" s="105"/>
      <c r="F85" s="20"/>
      <c r="G85" s="20"/>
      <c r="H85" s="105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105"/>
      <c r="U85" s="20"/>
      <c r="V85" s="20"/>
      <c r="W85" s="20"/>
      <c r="X85" s="43"/>
      <c r="Y85" s="16"/>
      <c r="Z85" s="20"/>
      <c r="AA85" s="16"/>
      <c r="AB85" s="16"/>
      <c r="AC85" s="16"/>
      <c r="AD85" s="16"/>
      <c r="AE85" s="40"/>
      <c r="AF85" s="40"/>
      <c r="AG85" s="40"/>
      <c r="AH85" s="16"/>
      <c r="AI85" s="16"/>
      <c r="AJ85" s="16"/>
      <c r="AK85" s="16"/>
      <c r="AL85" s="16"/>
      <c r="AM85" s="17"/>
      <c r="AN85" s="16"/>
      <c r="AO85" s="16"/>
      <c r="AP85" s="17"/>
      <c r="AQ85" s="16"/>
      <c r="AR85" s="17"/>
      <c r="AS85" s="17"/>
      <c r="AT85" s="16"/>
      <c r="AU85" s="107"/>
      <c r="AV85" s="16"/>
      <c r="AW85" s="107"/>
      <c r="AX85" s="16"/>
      <c r="AY85" s="16"/>
      <c r="AZ85" s="16"/>
      <c r="BA85" s="16"/>
      <c r="BB85" s="107"/>
      <c r="BC85" s="107"/>
      <c r="BD85" s="16"/>
      <c r="BE85" s="16"/>
      <c r="BF85" s="16"/>
      <c r="BG85" s="16"/>
      <c r="BH85" s="16"/>
      <c r="BI85" s="16"/>
      <c r="BJ85" s="16"/>
      <c r="BK85" s="16"/>
      <c r="BL85" s="16"/>
    </row>
    <row r="86">
      <c r="A86" s="15"/>
      <c r="B86" s="34" t="s">
        <v>181</v>
      </c>
      <c r="C86" s="17" t="s">
        <v>58</v>
      </c>
      <c r="D86" s="20"/>
      <c r="E86" s="105"/>
      <c r="F86" s="20"/>
      <c r="G86" s="20"/>
      <c r="H86" s="105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105"/>
      <c r="U86" s="20"/>
      <c r="V86" s="20"/>
      <c r="W86" s="20"/>
      <c r="X86" s="43"/>
      <c r="Y86" s="16"/>
      <c r="Z86" s="20"/>
      <c r="AA86" s="16"/>
      <c r="AB86" s="16"/>
      <c r="AC86" s="16"/>
      <c r="AD86" s="16"/>
      <c r="AE86" s="40"/>
      <c r="AF86" s="40"/>
      <c r="AG86" s="40"/>
      <c r="AH86" s="16"/>
      <c r="AI86" s="16"/>
      <c r="AJ86" s="16"/>
      <c r="AK86" s="16"/>
      <c r="AL86" s="16"/>
      <c r="AM86" s="17"/>
      <c r="AN86" s="16"/>
      <c r="AO86" s="16"/>
      <c r="AP86" s="17"/>
      <c r="AQ86" s="16"/>
      <c r="AR86" s="17"/>
      <c r="AS86" s="17"/>
      <c r="AT86" s="16"/>
      <c r="AU86" s="107"/>
      <c r="AV86" s="16"/>
      <c r="AW86" s="107"/>
      <c r="AX86" s="16"/>
      <c r="AY86" s="16"/>
      <c r="AZ86" s="16"/>
      <c r="BA86" s="16"/>
      <c r="BB86" s="107"/>
      <c r="BC86" s="107"/>
      <c r="BD86" s="16"/>
      <c r="BE86" s="16"/>
      <c r="BF86" s="16"/>
      <c r="BG86" s="16"/>
      <c r="BH86" s="16"/>
      <c r="BI86" s="16"/>
      <c r="BJ86" s="16"/>
      <c r="BK86" s="16"/>
      <c r="BL86" s="16"/>
    </row>
    <row r="87">
      <c r="A87" s="15"/>
      <c r="B87" s="34" t="s">
        <v>182</v>
      </c>
      <c r="C87" s="17" t="s">
        <v>58</v>
      </c>
      <c r="D87" s="20"/>
      <c r="E87" s="105"/>
      <c r="F87" s="20"/>
      <c r="G87" s="20"/>
      <c r="H87" s="105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105"/>
      <c r="U87" s="20"/>
      <c r="V87" s="20"/>
      <c r="W87" s="20"/>
      <c r="X87" s="43"/>
      <c r="Y87" s="16"/>
      <c r="Z87" s="20"/>
      <c r="AA87" s="16"/>
      <c r="AB87" s="16"/>
      <c r="AC87" s="16"/>
      <c r="AD87" s="16"/>
      <c r="AE87" s="40"/>
      <c r="AF87" s="40"/>
      <c r="AG87" s="40"/>
      <c r="AH87" s="16"/>
      <c r="AI87" s="16"/>
      <c r="AJ87" s="16"/>
      <c r="AK87" s="16"/>
      <c r="AL87" s="16"/>
      <c r="AM87" s="17"/>
      <c r="AN87" s="16"/>
      <c r="AO87" s="16"/>
      <c r="AP87" s="17"/>
      <c r="AQ87" s="16"/>
      <c r="AR87" s="17"/>
      <c r="AS87" s="17"/>
      <c r="AT87" s="16"/>
      <c r="AU87" s="107"/>
      <c r="AV87" s="16"/>
      <c r="AW87" s="107"/>
      <c r="AX87" s="16"/>
      <c r="AY87" s="16"/>
      <c r="AZ87" s="16"/>
      <c r="BA87" s="16"/>
      <c r="BB87" s="107"/>
      <c r="BC87" s="107"/>
      <c r="BD87" s="16"/>
      <c r="BE87" s="16"/>
      <c r="BF87" s="16"/>
      <c r="BG87" s="16"/>
      <c r="BH87" s="16"/>
      <c r="BI87" s="16"/>
      <c r="BJ87" s="16"/>
      <c r="BK87" s="16"/>
      <c r="BL87" s="16"/>
    </row>
    <row r="88">
      <c r="A88" s="15"/>
      <c r="B88" s="34" t="s">
        <v>183</v>
      </c>
      <c r="C88" s="17" t="s">
        <v>58</v>
      </c>
      <c r="D88" s="20"/>
      <c r="E88" s="105"/>
      <c r="F88" s="20"/>
      <c r="G88" s="20"/>
      <c r="H88" s="105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105"/>
      <c r="U88" s="20"/>
      <c r="V88" s="20"/>
      <c r="W88" s="20"/>
      <c r="X88" s="43"/>
      <c r="Y88" s="16"/>
      <c r="Z88" s="20"/>
      <c r="AA88" s="16"/>
      <c r="AB88" s="16"/>
      <c r="AC88" s="16"/>
      <c r="AD88" s="16"/>
      <c r="AE88" s="40"/>
      <c r="AF88" s="40"/>
      <c r="AG88" s="40"/>
      <c r="AH88" s="16"/>
      <c r="AI88" s="16"/>
      <c r="AJ88" s="16"/>
      <c r="AK88" s="16"/>
      <c r="AL88" s="16"/>
      <c r="AM88" s="17"/>
      <c r="AN88" s="16"/>
      <c r="AO88" s="16"/>
      <c r="AP88" s="17"/>
      <c r="AQ88" s="16"/>
      <c r="AR88" s="17"/>
      <c r="AS88" s="17"/>
      <c r="AT88" s="16"/>
      <c r="AU88" s="107"/>
      <c r="AV88" s="16"/>
      <c r="AW88" s="107"/>
      <c r="AX88" s="16"/>
      <c r="AY88" s="16"/>
      <c r="AZ88" s="16"/>
      <c r="BA88" s="16"/>
      <c r="BB88" s="107"/>
      <c r="BC88" s="107"/>
      <c r="BD88" s="16"/>
      <c r="BE88" s="16"/>
      <c r="BF88" s="16"/>
      <c r="BG88" s="16"/>
      <c r="BH88" s="16"/>
      <c r="BI88" s="16"/>
      <c r="BJ88" s="16"/>
      <c r="BK88" s="16"/>
      <c r="BL88" s="16"/>
    </row>
    <row r="89">
      <c r="A89" s="15"/>
      <c r="B89" s="16" t="s">
        <v>184</v>
      </c>
      <c r="C89" s="17" t="s">
        <v>58</v>
      </c>
      <c r="D89" s="16" t="s">
        <v>4</v>
      </c>
      <c r="E89" s="105"/>
      <c r="F89" s="20"/>
      <c r="G89" s="20"/>
      <c r="H89" s="105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105"/>
      <c r="U89" s="20"/>
      <c r="V89" s="20"/>
      <c r="W89" s="20"/>
      <c r="X89" s="43"/>
      <c r="Y89" s="16"/>
      <c r="Z89" s="20"/>
      <c r="AA89" s="16"/>
      <c r="AB89" s="16"/>
      <c r="AC89" s="16"/>
      <c r="AD89" s="16"/>
      <c r="AE89" s="40"/>
      <c r="AF89" s="40"/>
      <c r="AG89" s="40"/>
      <c r="AH89" s="16"/>
      <c r="AI89" s="16"/>
      <c r="AJ89" s="16"/>
      <c r="AK89" s="16"/>
      <c r="AL89" s="16"/>
      <c r="AM89" s="17"/>
      <c r="AN89" s="16"/>
      <c r="AO89" s="16"/>
      <c r="AP89" s="17"/>
      <c r="AQ89" s="16"/>
      <c r="AR89" s="17"/>
      <c r="AS89" s="17"/>
      <c r="AT89" s="16"/>
      <c r="AU89" s="107"/>
      <c r="AV89" s="16"/>
      <c r="AW89" s="107"/>
      <c r="AX89" s="16"/>
      <c r="AY89" s="16"/>
      <c r="AZ89" s="16"/>
      <c r="BA89" s="16"/>
      <c r="BB89" s="107"/>
      <c r="BC89" s="107"/>
      <c r="BD89" s="16"/>
      <c r="BE89" s="16"/>
      <c r="BF89" s="16"/>
      <c r="BG89" s="16"/>
      <c r="BH89" s="16"/>
      <c r="BI89" s="16"/>
      <c r="BJ89" s="16"/>
      <c r="BK89" s="16"/>
      <c r="BL89" s="16"/>
    </row>
    <row r="90">
      <c r="A90" s="15"/>
      <c r="B90" s="34" t="s">
        <v>185</v>
      </c>
      <c r="C90" s="17" t="s">
        <v>58</v>
      </c>
      <c r="D90" s="16"/>
      <c r="E90" s="105"/>
      <c r="F90" s="20"/>
      <c r="G90" s="20"/>
      <c r="H90" s="105"/>
      <c r="I90" s="20"/>
      <c r="J90" s="20"/>
      <c r="K90" s="20"/>
      <c r="L90" s="16" t="s">
        <v>4</v>
      </c>
      <c r="M90" s="20"/>
      <c r="N90" s="20"/>
      <c r="O90" s="20"/>
      <c r="P90" s="20"/>
      <c r="Q90" s="20"/>
      <c r="R90" s="20"/>
      <c r="S90" s="20"/>
      <c r="T90" s="105"/>
      <c r="U90" s="20"/>
      <c r="V90" s="20"/>
      <c r="W90" s="20"/>
      <c r="X90" s="43"/>
      <c r="Y90" s="16"/>
      <c r="Z90" s="20"/>
      <c r="AA90" s="16"/>
      <c r="AB90" s="16"/>
      <c r="AC90" s="16"/>
      <c r="AD90" s="16"/>
      <c r="AE90" s="40"/>
      <c r="AF90" s="40"/>
      <c r="AG90" s="40"/>
      <c r="AH90" s="16"/>
      <c r="AI90" s="16"/>
      <c r="AJ90" s="16"/>
      <c r="AK90" s="16"/>
      <c r="AL90" s="16"/>
      <c r="AM90" s="17"/>
      <c r="AN90" s="16"/>
      <c r="AO90" s="16"/>
      <c r="AP90" s="17"/>
      <c r="AQ90" s="16"/>
      <c r="AR90" s="17"/>
      <c r="AS90" s="17"/>
      <c r="AT90" s="16"/>
      <c r="AU90" s="107"/>
      <c r="AV90" s="16"/>
      <c r="AW90" s="107"/>
      <c r="AX90" s="16"/>
      <c r="AY90" s="16"/>
      <c r="AZ90" s="16"/>
      <c r="BA90" s="16"/>
      <c r="BB90" s="107"/>
      <c r="BC90" s="107"/>
      <c r="BD90" s="16"/>
      <c r="BE90" s="16"/>
      <c r="BF90" s="16"/>
      <c r="BG90" s="16"/>
      <c r="BH90" s="16"/>
      <c r="BI90" s="16"/>
      <c r="BJ90" s="16"/>
      <c r="BK90" s="16"/>
      <c r="BL90" s="16"/>
    </row>
    <row r="91">
      <c r="A91" s="15"/>
      <c r="B91" s="16" t="s">
        <v>186</v>
      </c>
      <c r="C91" s="17" t="s">
        <v>58</v>
      </c>
      <c r="D91" s="16"/>
      <c r="E91" s="105"/>
      <c r="F91" s="20"/>
      <c r="G91" s="20"/>
      <c r="H91" s="105"/>
      <c r="I91" s="20"/>
      <c r="J91" s="20"/>
      <c r="K91" s="20"/>
      <c r="L91" s="16"/>
      <c r="M91" s="20"/>
      <c r="N91" s="20"/>
      <c r="O91" s="20"/>
      <c r="P91" s="20"/>
      <c r="Q91" s="20"/>
      <c r="R91" s="20"/>
      <c r="S91" s="20"/>
      <c r="T91" s="105"/>
      <c r="U91" s="20"/>
      <c r="V91" s="20"/>
      <c r="W91" s="20"/>
      <c r="X91" s="43"/>
      <c r="Y91" s="16"/>
      <c r="Z91" s="20"/>
      <c r="AA91" s="16"/>
      <c r="AB91" s="16"/>
      <c r="AC91" s="16"/>
      <c r="AD91" s="16"/>
      <c r="AE91" s="40"/>
      <c r="AF91" s="40"/>
      <c r="AG91" s="40"/>
      <c r="AH91" s="16"/>
      <c r="AI91" s="16"/>
      <c r="AJ91" s="16"/>
      <c r="AK91" s="16"/>
      <c r="AL91" s="16"/>
      <c r="AM91" s="17"/>
      <c r="AN91" s="16"/>
      <c r="AO91" s="16"/>
      <c r="AP91" s="17" t="s">
        <v>4</v>
      </c>
      <c r="AQ91" s="16"/>
      <c r="AR91" s="17"/>
      <c r="AS91" s="17"/>
      <c r="AT91" s="16"/>
      <c r="AU91" s="107"/>
      <c r="AV91" s="16"/>
      <c r="AW91" s="107"/>
      <c r="AX91" s="16"/>
      <c r="AY91" s="16"/>
      <c r="AZ91" s="16" t="s">
        <v>4</v>
      </c>
      <c r="BA91" s="16"/>
      <c r="BB91" s="107"/>
      <c r="BC91" s="107"/>
      <c r="BD91" s="16"/>
      <c r="BE91" s="16"/>
      <c r="BF91" s="16"/>
      <c r="BG91" s="16"/>
      <c r="BH91" s="16"/>
      <c r="BI91" s="16"/>
      <c r="BJ91" s="16"/>
      <c r="BK91" s="16"/>
      <c r="BL91" s="16"/>
    </row>
    <row r="92">
      <c r="A92" s="15"/>
      <c r="B92" s="16" t="s">
        <v>187</v>
      </c>
      <c r="C92" s="17"/>
      <c r="D92" s="16"/>
      <c r="E92" s="105"/>
      <c r="F92" s="20"/>
      <c r="G92" s="20"/>
      <c r="H92" s="105"/>
      <c r="I92" s="20"/>
      <c r="J92" s="20"/>
      <c r="K92" s="20"/>
      <c r="L92" s="16"/>
      <c r="M92" s="20"/>
      <c r="N92" s="20"/>
      <c r="O92" s="20"/>
      <c r="P92" s="20"/>
      <c r="Q92" s="20"/>
      <c r="R92" s="20"/>
      <c r="S92" s="20"/>
      <c r="T92" s="105"/>
      <c r="U92" s="20"/>
      <c r="V92" s="20"/>
      <c r="W92" s="20"/>
      <c r="X92" s="43"/>
      <c r="Y92" s="16"/>
      <c r="Z92" s="20"/>
      <c r="AA92" s="16"/>
      <c r="AB92" s="16"/>
      <c r="AC92" s="16"/>
      <c r="AD92" s="16"/>
      <c r="AE92" s="40"/>
      <c r="AF92" s="40"/>
      <c r="AG92" s="40"/>
      <c r="AH92" s="16"/>
      <c r="AI92" s="16"/>
      <c r="AJ92" s="16"/>
      <c r="AK92" s="16"/>
      <c r="AL92" s="16"/>
      <c r="AM92" s="17"/>
      <c r="AN92" s="16"/>
      <c r="AO92" s="16"/>
      <c r="AP92" s="17"/>
      <c r="AQ92" s="16"/>
      <c r="AR92" s="17"/>
      <c r="AS92" s="17"/>
      <c r="AT92" s="16"/>
      <c r="AU92" s="107"/>
      <c r="AV92" s="16"/>
      <c r="AW92" s="107"/>
      <c r="AX92" s="16"/>
      <c r="AY92" s="16"/>
      <c r="AZ92" s="16" t="s">
        <v>4</v>
      </c>
      <c r="BA92" s="16"/>
      <c r="BB92" s="107"/>
      <c r="BC92" s="107"/>
      <c r="BD92" s="16"/>
      <c r="BE92" s="16"/>
      <c r="BF92" s="16"/>
      <c r="BG92" s="16"/>
      <c r="BH92" s="16"/>
      <c r="BI92" s="16"/>
      <c r="BJ92" s="16"/>
      <c r="BK92" s="16"/>
      <c r="BL92" s="16"/>
    </row>
    <row r="93">
      <c r="A93" s="15"/>
      <c r="B93" s="16" t="s">
        <v>113</v>
      </c>
      <c r="C93" s="17" t="s">
        <v>58</v>
      </c>
      <c r="D93" s="16"/>
      <c r="E93" s="105"/>
      <c r="F93" s="20"/>
      <c r="G93" s="20"/>
      <c r="H93" s="105"/>
      <c r="I93" s="20"/>
      <c r="J93" s="20"/>
      <c r="K93" s="20"/>
      <c r="L93" s="16"/>
      <c r="M93" s="20"/>
      <c r="N93" s="20"/>
      <c r="O93" s="20"/>
      <c r="P93" s="20"/>
      <c r="Q93" s="20"/>
      <c r="R93" s="20"/>
      <c r="S93" s="20"/>
      <c r="T93" s="105"/>
      <c r="U93" s="20"/>
      <c r="V93" s="20"/>
      <c r="W93" s="20"/>
      <c r="X93" s="43"/>
      <c r="Y93" s="16"/>
      <c r="Z93" s="20"/>
      <c r="AA93" s="16"/>
      <c r="AB93" s="16"/>
      <c r="AC93" s="16"/>
      <c r="AD93" s="16"/>
      <c r="AE93" s="40"/>
      <c r="AF93" s="40"/>
      <c r="AG93" s="40"/>
      <c r="AH93" s="16"/>
      <c r="AI93" s="16"/>
      <c r="AJ93" s="16"/>
      <c r="AK93" s="16"/>
      <c r="AL93" s="16"/>
      <c r="AM93" s="17"/>
      <c r="AN93" s="16"/>
      <c r="AO93" s="16"/>
      <c r="AP93" s="17"/>
      <c r="AQ93" s="16"/>
      <c r="AR93" s="17"/>
      <c r="AS93" s="17" t="s">
        <v>4</v>
      </c>
      <c r="AT93" s="16"/>
      <c r="AU93" s="107"/>
      <c r="AV93" s="16"/>
      <c r="AW93" s="107"/>
      <c r="AX93" s="16"/>
      <c r="AY93" s="16"/>
      <c r="AZ93" s="16"/>
      <c r="BA93" s="16"/>
      <c r="BB93" s="107"/>
      <c r="BC93" s="107"/>
      <c r="BD93" s="16"/>
      <c r="BE93" s="16"/>
      <c r="BF93" s="16"/>
      <c r="BG93" s="16"/>
      <c r="BH93" s="16"/>
      <c r="BI93" s="16"/>
      <c r="BJ93" s="16"/>
      <c r="BK93" s="16"/>
      <c r="BL93" s="16"/>
    </row>
    <row r="94">
      <c r="A94" s="21"/>
      <c r="B94" s="97"/>
      <c r="C94" s="42"/>
      <c r="D94" s="20"/>
      <c r="E94" s="105"/>
      <c r="F94" s="20"/>
      <c r="G94" s="20"/>
      <c r="H94" s="105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105"/>
      <c r="U94" s="20"/>
      <c r="V94" s="20"/>
      <c r="W94" s="20"/>
      <c r="X94" s="43"/>
      <c r="Y94" s="20"/>
      <c r="Z94" s="20"/>
      <c r="AA94" s="20"/>
      <c r="AB94" s="20"/>
      <c r="AC94" s="20"/>
      <c r="AD94" s="20"/>
      <c r="AE94" s="43"/>
      <c r="AF94" s="43"/>
      <c r="AG94" s="43"/>
      <c r="AH94" s="20"/>
      <c r="AI94" s="20"/>
      <c r="AJ94" s="20"/>
      <c r="AK94" s="20"/>
      <c r="AL94" s="20"/>
      <c r="AM94" s="42"/>
      <c r="AN94" s="20"/>
      <c r="AO94" s="20"/>
      <c r="AP94" s="42"/>
      <c r="AQ94" s="20"/>
      <c r="AR94" s="42"/>
      <c r="AS94" s="42"/>
      <c r="AT94" s="20"/>
      <c r="AU94" s="106"/>
      <c r="AV94" s="20"/>
      <c r="AW94" s="106"/>
      <c r="AX94" s="20"/>
      <c r="AY94" s="20"/>
      <c r="AZ94" s="20"/>
      <c r="BA94" s="20"/>
      <c r="BB94" s="106"/>
      <c r="BC94" s="106"/>
      <c r="BD94" s="20"/>
      <c r="BE94" s="20"/>
      <c r="BF94" s="20"/>
      <c r="BG94" s="20"/>
      <c r="BH94" s="20"/>
      <c r="BI94" s="20"/>
      <c r="BJ94" s="20"/>
      <c r="BK94" s="20"/>
      <c r="BL94" s="20"/>
    </row>
    <row r="95">
      <c r="A95" s="98"/>
      <c r="B95" s="92" t="s">
        <v>188</v>
      </c>
      <c r="C95" s="17" t="s">
        <v>89</v>
      </c>
      <c r="D95" s="16"/>
      <c r="E95" s="104"/>
      <c r="F95" s="16" t="s">
        <v>4</v>
      </c>
      <c r="G95" s="20"/>
      <c r="H95" s="105"/>
      <c r="I95" s="20"/>
      <c r="J95" s="16"/>
      <c r="K95" s="20"/>
      <c r="L95" s="16"/>
      <c r="M95" s="20"/>
      <c r="N95" s="20"/>
      <c r="O95" s="20"/>
      <c r="P95" s="16"/>
      <c r="Q95" s="20"/>
      <c r="R95" s="20"/>
      <c r="S95" s="20"/>
      <c r="T95" s="105"/>
      <c r="U95" s="20"/>
      <c r="V95" s="20"/>
      <c r="W95" s="20"/>
      <c r="X95" s="40"/>
      <c r="Y95" s="20"/>
      <c r="Z95" s="20"/>
      <c r="AA95" s="20"/>
      <c r="AB95" s="20"/>
      <c r="AC95" s="20"/>
      <c r="AD95" s="20"/>
      <c r="AE95" s="43"/>
      <c r="AF95" s="43"/>
      <c r="AG95" s="43"/>
      <c r="AH95" s="20"/>
      <c r="AI95" s="20"/>
      <c r="AJ95" s="20"/>
      <c r="AK95" s="20"/>
      <c r="AL95" s="20"/>
      <c r="AM95" s="42"/>
      <c r="AN95" s="20"/>
      <c r="AO95" s="20"/>
      <c r="AP95" s="42"/>
      <c r="AQ95" s="20"/>
      <c r="AR95" s="42"/>
      <c r="AS95" s="42"/>
      <c r="AT95" s="20"/>
      <c r="AU95" s="106"/>
      <c r="AV95" s="20"/>
      <c r="AW95" s="106"/>
      <c r="AX95" s="20"/>
      <c r="AY95" s="20"/>
      <c r="AZ95" s="20"/>
      <c r="BA95" s="20"/>
      <c r="BB95" s="106"/>
      <c r="BC95" s="106"/>
      <c r="BD95" s="20"/>
      <c r="BE95" s="20"/>
      <c r="BF95" s="20"/>
      <c r="BG95" s="20"/>
      <c r="BH95" s="20"/>
      <c r="BI95" s="20"/>
      <c r="BJ95" s="20"/>
      <c r="BK95" s="20"/>
      <c r="BL95" s="20"/>
    </row>
    <row r="96">
      <c r="A96" s="15"/>
      <c r="B96" s="19" t="s">
        <v>189</v>
      </c>
      <c r="C96" s="17" t="s">
        <v>89</v>
      </c>
      <c r="D96" s="16"/>
      <c r="E96" s="104"/>
      <c r="F96" s="16"/>
      <c r="G96" s="20"/>
      <c r="H96" s="105"/>
      <c r="I96" s="20"/>
      <c r="J96" s="16"/>
      <c r="K96" s="20"/>
      <c r="L96" s="16"/>
      <c r="M96" s="20"/>
      <c r="N96" s="16" t="s">
        <v>4</v>
      </c>
      <c r="O96" s="20"/>
      <c r="P96" s="16"/>
      <c r="Q96" s="20"/>
      <c r="R96" s="20"/>
      <c r="S96" s="20"/>
      <c r="T96" s="105"/>
      <c r="U96" s="20"/>
      <c r="V96" s="20"/>
      <c r="W96" s="20"/>
      <c r="X96" s="40"/>
      <c r="Y96" s="20"/>
      <c r="Z96" s="20"/>
      <c r="AA96" s="20"/>
      <c r="AB96" s="20"/>
      <c r="AC96" s="20"/>
      <c r="AD96" s="20"/>
      <c r="AE96" s="43"/>
      <c r="AF96" s="43"/>
      <c r="AG96" s="43"/>
      <c r="AH96" s="20"/>
      <c r="AI96" s="20"/>
      <c r="AJ96" s="20"/>
      <c r="AK96" s="20"/>
      <c r="AL96" s="20"/>
      <c r="AM96" s="42"/>
      <c r="AN96" s="20"/>
      <c r="AO96" s="20"/>
      <c r="AP96" s="42"/>
      <c r="AQ96" s="20"/>
      <c r="AR96" s="42"/>
      <c r="AS96" s="42"/>
      <c r="AT96" s="20"/>
      <c r="AU96" s="106"/>
      <c r="AV96" s="20"/>
      <c r="AW96" s="106"/>
      <c r="AX96" s="20"/>
      <c r="AY96" s="20"/>
      <c r="AZ96" s="20"/>
      <c r="BA96" s="20"/>
      <c r="BB96" s="106"/>
      <c r="BC96" s="106"/>
      <c r="BD96" s="20"/>
      <c r="BE96" s="20"/>
      <c r="BF96" s="20"/>
      <c r="BG96" s="20"/>
      <c r="BH96" s="20"/>
      <c r="BI96" s="20"/>
      <c r="BJ96" s="20"/>
      <c r="BK96" s="20"/>
      <c r="BL96" s="20"/>
    </row>
    <row r="97">
      <c r="A97" s="15"/>
      <c r="B97" s="19" t="s">
        <v>190</v>
      </c>
      <c r="C97" s="17" t="s">
        <v>89</v>
      </c>
      <c r="D97" s="16"/>
      <c r="E97" s="104"/>
      <c r="F97" s="16"/>
      <c r="G97" s="20"/>
      <c r="H97" s="105"/>
      <c r="I97" s="20"/>
      <c r="J97" s="16"/>
      <c r="K97" s="20"/>
      <c r="L97" s="16"/>
      <c r="M97" s="20"/>
      <c r="N97" s="16" t="s">
        <v>4</v>
      </c>
      <c r="O97" s="20"/>
      <c r="P97" s="16"/>
      <c r="Q97" s="20"/>
      <c r="R97" s="20"/>
      <c r="S97" s="20"/>
      <c r="T97" s="105"/>
      <c r="U97" s="20"/>
      <c r="V97" s="20"/>
      <c r="W97" s="20"/>
      <c r="X97" s="40"/>
      <c r="Y97" s="20"/>
      <c r="Z97" s="20"/>
      <c r="AA97" s="20"/>
      <c r="AB97" s="20"/>
      <c r="AC97" s="20"/>
      <c r="AD97" s="20"/>
      <c r="AE97" s="43"/>
      <c r="AF97" s="43"/>
      <c r="AG97" s="43"/>
      <c r="AH97" s="20"/>
      <c r="AI97" s="20"/>
      <c r="AJ97" s="20"/>
      <c r="AK97" s="20"/>
      <c r="AL97" s="20"/>
      <c r="AM97" s="42"/>
      <c r="AN97" s="20"/>
      <c r="AO97" s="20"/>
      <c r="AP97" s="42"/>
      <c r="AQ97" s="20"/>
      <c r="AR97" s="42"/>
      <c r="AS97" s="42"/>
      <c r="AT97" s="20"/>
      <c r="AU97" s="106"/>
      <c r="AV97" s="20"/>
      <c r="AW97" s="106"/>
      <c r="AX97" s="20"/>
      <c r="AY97" s="20"/>
      <c r="AZ97" s="20"/>
      <c r="BA97" s="20"/>
      <c r="BB97" s="106"/>
      <c r="BC97" s="106"/>
      <c r="BD97" s="20"/>
      <c r="BE97" s="20"/>
      <c r="BF97" s="20"/>
      <c r="BG97" s="20"/>
      <c r="BH97" s="20"/>
      <c r="BI97" s="20"/>
      <c r="BJ97" s="20"/>
      <c r="BK97" s="20"/>
      <c r="BL97" s="20"/>
    </row>
    <row r="98">
      <c r="A98" s="15"/>
      <c r="B98" s="19" t="s">
        <v>191</v>
      </c>
      <c r="C98" s="17" t="s">
        <v>89</v>
      </c>
      <c r="D98" s="20"/>
      <c r="E98" s="105"/>
      <c r="F98" s="16"/>
      <c r="G98" s="20"/>
      <c r="H98" s="104"/>
      <c r="I98" s="20"/>
      <c r="J98" s="16"/>
      <c r="K98" s="20"/>
      <c r="L98" s="20"/>
      <c r="M98" s="20"/>
      <c r="N98" s="20"/>
      <c r="O98" s="20"/>
      <c r="P98" s="20"/>
      <c r="Q98" s="20"/>
      <c r="R98" s="20"/>
      <c r="S98" s="20"/>
      <c r="T98" s="105"/>
      <c r="U98" s="20"/>
      <c r="V98" s="20"/>
      <c r="W98" s="20"/>
      <c r="X98" s="43"/>
      <c r="Y98" s="20"/>
      <c r="Z98" s="20"/>
      <c r="AA98" s="20"/>
      <c r="AB98" s="20"/>
      <c r="AC98" s="20"/>
      <c r="AD98" s="20"/>
      <c r="AE98" s="43"/>
      <c r="AF98" s="43"/>
      <c r="AG98" s="43"/>
      <c r="AH98" s="20"/>
      <c r="AI98" s="20"/>
      <c r="AJ98" s="20"/>
      <c r="AK98" s="20"/>
      <c r="AL98" s="20"/>
      <c r="AM98" s="42"/>
      <c r="AN98" s="20"/>
      <c r="AO98" s="20"/>
      <c r="AP98" s="42"/>
      <c r="AQ98" s="20"/>
      <c r="AR98" s="42"/>
      <c r="AS98" s="42"/>
      <c r="AT98" s="20"/>
      <c r="AU98" s="106"/>
      <c r="AV98" s="20"/>
      <c r="AW98" s="106"/>
      <c r="AX98" s="20"/>
      <c r="AY98" s="20"/>
      <c r="AZ98" s="20"/>
      <c r="BA98" s="20"/>
      <c r="BB98" s="106"/>
      <c r="BC98" s="106"/>
      <c r="BD98" s="20"/>
      <c r="BE98" s="20"/>
      <c r="BF98" s="20"/>
      <c r="BG98" s="20"/>
      <c r="BH98" s="20"/>
      <c r="BI98" s="20"/>
      <c r="BJ98" s="20"/>
      <c r="BK98" s="20"/>
      <c r="BL98" s="20"/>
    </row>
    <row r="99">
      <c r="A99" s="15"/>
      <c r="B99" s="19" t="s">
        <v>192</v>
      </c>
      <c r="C99" s="17" t="s">
        <v>89</v>
      </c>
      <c r="D99" s="20"/>
      <c r="E99" s="105"/>
      <c r="F99" s="16"/>
      <c r="G99" s="20"/>
      <c r="H99" s="104"/>
      <c r="I99" s="20"/>
      <c r="J99" s="16"/>
      <c r="K99" s="20"/>
      <c r="L99" s="20"/>
      <c r="M99" s="20"/>
      <c r="N99" s="20"/>
      <c r="O99" s="20"/>
      <c r="P99" s="20"/>
      <c r="Q99" s="20"/>
      <c r="R99" s="20"/>
      <c r="S99" s="20"/>
      <c r="T99" s="105"/>
      <c r="U99" s="20"/>
      <c r="V99" s="20"/>
      <c r="W99" s="20"/>
      <c r="X99" s="43"/>
      <c r="Y99" s="20"/>
      <c r="Z99" s="20"/>
      <c r="AA99" s="20"/>
      <c r="AB99" s="20"/>
      <c r="AC99" s="20"/>
      <c r="AD99" s="20"/>
      <c r="AE99" s="43"/>
      <c r="AF99" s="43"/>
      <c r="AG99" s="43"/>
      <c r="AH99" s="20"/>
      <c r="AI99" s="20"/>
      <c r="AJ99" s="20"/>
      <c r="AK99" s="20"/>
      <c r="AL99" s="20"/>
      <c r="AM99" s="42"/>
      <c r="AN99" s="20"/>
      <c r="AO99" s="20"/>
      <c r="AP99" s="42"/>
      <c r="AQ99" s="20"/>
      <c r="AR99" s="42"/>
      <c r="AS99" s="42"/>
      <c r="AT99" s="20"/>
      <c r="AU99" s="106"/>
      <c r="AV99" s="20"/>
      <c r="AW99" s="106"/>
      <c r="AX99" s="20"/>
      <c r="AY99" s="20"/>
      <c r="AZ99" s="20"/>
      <c r="BA99" s="20"/>
      <c r="BB99" s="106"/>
      <c r="BC99" s="106"/>
      <c r="BD99" s="20"/>
      <c r="BE99" s="20"/>
      <c r="BF99" s="20"/>
      <c r="BG99" s="20"/>
      <c r="BH99" s="20"/>
      <c r="BI99" s="20"/>
      <c r="BJ99" s="20"/>
      <c r="BK99" s="20"/>
      <c r="BL99" s="20"/>
    </row>
    <row r="100">
      <c r="A100" s="15"/>
      <c r="B100" s="19" t="s">
        <v>193</v>
      </c>
      <c r="C100" s="17" t="s">
        <v>89</v>
      </c>
      <c r="D100" s="20"/>
      <c r="E100" s="105"/>
      <c r="F100" s="16"/>
      <c r="G100" s="20"/>
      <c r="H100" s="104"/>
      <c r="I100" s="20"/>
      <c r="J100" s="16"/>
      <c r="K100" s="20"/>
      <c r="L100" s="20"/>
      <c r="M100" s="20"/>
      <c r="N100" s="20"/>
      <c r="O100" s="20"/>
      <c r="P100" s="20"/>
      <c r="Q100" s="20"/>
      <c r="R100" s="20"/>
      <c r="S100" s="20"/>
      <c r="T100" s="105"/>
      <c r="U100" s="20"/>
      <c r="V100" s="20"/>
      <c r="W100" s="20"/>
      <c r="X100" s="43"/>
      <c r="Y100" s="20"/>
      <c r="Z100" s="20"/>
      <c r="AA100" s="20"/>
      <c r="AB100" s="20"/>
      <c r="AC100" s="20"/>
      <c r="AD100" s="20"/>
      <c r="AE100" s="43"/>
      <c r="AF100" s="43"/>
      <c r="AG100" s="43"/>
      <c r="AH100" s="20"/>
      <c r="AI100" s="20"/>
      <c r="AJ100" s="20"/>
      <c r="AK100" s="20"/>
      <c r="AL100" s="20"/>
      <c r="AM100" s="42"/>
      <c r="AN100" s="20"/>
      <c r="AO100" s="20"/>
      <c r="AP100" s="42"/>
      <c r="AQ100" s="20"/>
      <c r="AR100" s="42"/>
      <c r="AS100" s="42"/>
      <c r="AT100" s="20"/>
      <c r="AU100" s="106"/>
      <c r="AV100" s="20"/>
      <c r="AW100" s="106"/>
      <c r="AX100" s="20"/>
      <c r="AY100" s="20"/>
      <c r="AZ100" s="20"/>
      <c r="BA100" s="20"/>
      <c r="BB100" s="106"/>
      <c r="BC100" s="106"/>
      <c r="BD100" s="20"/>
      <c r="BE100" s="20"/>
      <c r="BF100" s="20"/>
      <c r="BG100" s="20"/>
      <c r="BH100" s="20"/>
      <c r="BI100" s="20"/>
      <c r="BJ100" s="20"/>
      <c r="BK100" s="20"/>
      <c r="BL100" s="20"/>
    </row>
    <row r="101">
      <c r="A101" s="15"/>
      <c r="B101" s="19" t="s">
        <v>194</v>
      </c>
      <c r="C101" s="17" t="s">
        <v>89</v>
      </c>
      <c r="D101" s="20"/>
      <c r="E101" s="105"/>
      <c r="F101" s="16"/>
      <c r="G101" s="20"/>
      <c r="H101" s="104"/>
      <c r="I101" s="20"/>
      <c r="J101" s="16"/>
      <c r="K101" s="20"/>
      <c r="L101" s="20"/>
      <c r="M101" s="20"/>
      <c r="N101" s="20"/>
      <c r="O101" s="20"/>
      <c r="P101" s="20"/>
      <c r="Q101" s="20"/>
      <c r="R101" s="20"/>
      <c r="S101" s="20"/>
      <c r="T101" s="105"/>
      <c r="U101" s="20"/>
      <c r="V101" s="20"/>
      <c r="W101" s="20"/>
      <c r="X101" s="43"/>
      <c r="Y101" s="20"/>
      <c r="Z101" s="20"/>
      <c r="AA101" s="20"/>
      <c r="AB101" s="20"/>
      <c r="AC101" s="20"/>
      <c r="AD101" s="20"/>
      <c r="AE101" s="43"/>
      <c r="AF101" s="43"/>
      <c r="AG101" s="43"/>
      <c r="AH101" s="20"/>
      <c r="AI101" s="20"/>
      <c r="AJ101" s="20"/>
      <c r="AK101" s="20"/>
      <c r="AL101" s="20"/>
      <c r="AM101" s="42"/>
      <c r="AN101" s="20"/>
      <c r="AO101" s="20"/>
      <c r="AP101" s="42"/>
      <c r="AQ101" s="20"/>
      <c r="AR101" s="42"/>
      <c r="AS101" s="42"/>
      <c r="AT101" s="20"/>
      <c r="AU101" s="106"/>
      <c r="AV101" s="20"/>
      <c r="AW101" s="106"/>
      <c r="AX101" s="20"/>
      <c r="AY101" s="20"/>
      <c r="AZ101" s="20"/>
      <c r="BA101" s="20"/>
      <c r="BB101" s="106"/>
      <c r="BC101" s="106"/>
      <c r="BD101" s="20"/>
      <c r="BE101" s="20"/>
      <c r="BF101" s="20"/>
      <c r="BG101" s="20"/>
      <c r="BH101" s="20"/>
      <c r="BI101" s="20"/>
      <c r="BJ101" s="20"/>
      <c r="BK101" s="20"/>
      <c r="BL101" s="20"/>
    </row>
    <row r="102">
      <c r="A102" s="15"/>
      <c r="B102" s="19" t="s">
        <v>195</v>
      </c>
      <c r="C102" s="17" t="s">
        <v>89</v>
      </c>
      <c r="D102" s="20"/>
      <c r="E102" s="105"/>
      <c r="F102" s="20"/>
      <c r="G102" s="20"/>
      <c r="H102" s="105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105"/>
      <c r="U102" s="20"/>
      <c r="V102" s="20"/>
      <c r="W102" s="20"/>
      <c r="X102" s="43"/>
      <c r="Y102" s="20"/>
      <c r="Z102" s="20"/>
      <c r="AA102" s="20"/>
      <c r="AB102" s="20"/>
      <c r="AC102" s="16"/>
      <c r="AD102" s="16"/>
      <c r="AE102" s="40"/>
      <c r="AF102" s="40"/>
      <c r="AG102" s="40"/>
      <c r="AH102" s="16"/>
      <c r="AI102" s="16"/>
      <c r="AJ102" s="16"/>
      <c r="AK102" s="16"/>
      <c r="AL102" s="16"/>
      <c r="AM102" s="17"/>
      <c r="AN102" s="16"/>
      <c r="AO102" s="16"/>
      <c r="AP102" s="17"/>
      <c r="AQ102" s="16"/>
      <c r="AR102" s="17"/>
      <c r="AS102" s="17"/>
      <c r="AT102" s="16"/>
      <c r="AU102" s="107"/>
      <c r="AV102" s="16"/>
      <c r="AW102" s="107"/>
      <c r="AX102" s="16"/>
      <c r="AY102" s="16"/>
      <c r="AZ102" s="16"/>
      <c r="BA102" s="16"/>
      <c r="BB102" s="107"/>
      <c r="BC102" s="107"/>
      <c r="BD102" s="16"/>
      <c r="BE102" s="16"/>
      <c r="BF102" s="16"/>
      <c r="BG102" s="16"/>
      <c r="BH102" s="16"/>
      <c r="BI102" s="16"/>
      <c r="BJ102" s="16"/>
      <c r="BK102" s="16"/>
      <c r="BL102" s="16"/>
    </row>
    <row r="103">
      <c r="A103" s="15"/>
      <c r="B103" s="19" t="s">
        <v>196</v>
      </c>
      <c r="C103" s="17" t="s">
        <v>89</v>
      </c>
      <c r="D103" s="20"/>
      <c r="E103" s="105"/>
      <c r="F103" s="20"/>
      <c r="G103" s="20"/>
      <c r="H103" s="105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105"/>
      <c r="U103" s="20"/>
      <c r="V103" s="20"/>
      <c r="W103" s="20"/>
      <c r="X103" s="43"/>
      <c r="Y103" s="20"/>
      <c r="Z103" s="20"/>
      <c r="AA103" s="20"/>
      <c r="AB103" s="20"/>
      <c r="AC103" s="16"/>
      <c r="AD103" s="16"/>
      <c r="AE103" s="40"/>
      <c r="AF103" s="40"/>
      <c r="AG103" s="40"/>
      <c r="AH103" s="16"/>
      <c r="AI103" s="16"/>
      <c r="AJ103" s="16"/>
      <c r="AK103" s="16"/>
      <c r="AL103" s="16"/>
      <c r="AM103" s="17"/>
      <c r="AN103" s="16"/>
      <c r="AO103" s="16"/>
      <c r="AP103" s="17"/>
      <c r="AQ103" s="16"/>
      <c r="AR103" s="17"/>
      <c r="AS103" s="17"/>
      <c r="AT103" s="16"/>
      <c r="AU103" s="107"/>
      <c r="AV103" s="16"/>
      <c r="AW103" s="107"/>
      <c r="AX103" s="16"/>
      <c r="AY103" s="16"/>
      <c r="AZ103" s="16"/>
      <c r="BA103" s="16"/>
      <c r="BB103" s="107"/>
      <c r="BC103" s="107"/>
      <c r="BD103" s="16"/>
      <c r="BE103" s="16"/>
      <c r="BF103" s="16"/>
      <c r="BG103" s="16"/>
      <c r="BH103" s="16"/>
      <c r="BI103" s="16"/>
      <c r="BJ103" s="16"/>
      <c r="BK103" s="16"/>
      <c r="BL103" s="16"/>
    </row>
    <row r="104">
      <c r="A104" s="15"/>
      <c r="B104" s="19" t="s">
        <v>197</v>
      </c>
      <c r="C104" s="17" t="s">
        <v>89</v>
      </c>
      <c r="D104" s="20"/>
      <c r="E104" s="105"/>
      <c r="F104" s="20"/>
      <c r="G104" s="20"/>
      <c r="H104" s="105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105"/>
      <c r="U104" s="20"/>
      <c r="V104" s="20"/>
      <c r="W104" s="20"/>
      <c r="X104" s="43"/>
      <c r="Y104" s="20"/>
      <c r="Z104" s="20"/>
      <c r="AA104" s="20"/>
      <c r="AB104" s="20"/>
      <c r="AC104" s="16"/>
      <c r="AD104" s="16"/>
      <c r="AE104" s="40"/>
      <c r="AF104" s="40"/>
      <c r="AG104" s="40"/>
      <c r="AH104" s="16"/>
      <c r="AI104" s="16"/>
      <c r="AJ104" s="16"/>
      <c r="AK104" s="16"/>
      <c r="AL104" s="16"/>
      <c r="AM104" s="17"/>
      <c r="AN104" s="16"/>
      <c r="AO104" s="16"/>
      <c r="AP104" s="17"/>
      <c r="AQ104" s="16"/>
      <c r="AR104" s="17"/>
      <c r="AS104" s="17"/>
      <c r="AT104" s="16"/>
      <c r="AU104" s="107"/>
      <c r="AV104" s="16"/>
      <c r="AW104" s="107"/>
      <c r="AX104" s="16"/>
      <c r="AY104" s="16"/>
      <c r="AZ104" s="16"/>
      <c r="BA104" s="16"/>
      <c r="BB104" s="107"/>
      <c r="BC104" s="107"/>
      <c r="BD104" s="16"/>
      <c r="BE104" s="16"/>
      <c r="BF104" s="16"/>
      <c r="BG104" s="16"/>
      <c r="BH104" s="16"/>
      <c r="BI104" s="16"/>
      <c r="BJ104" s="16"/>
      <c r="BK104" s="16"/>
      <c r="BL104" s="16"/>
    </row>
    <row r="105">
      <c r="A105" s="15"/>
      <c r="B105" s="19" t="s">
        <v>198</v>
      </c>
      <c r="C105" s="17" t="s">
        <v>89</v>
      </c>
      <c r="D105" s="20"/>
      <c r="E105" s="105"/>
      <c r="F105" s="20"/>
      <c r="G105" s="20"/>
      <c r="H105" s="105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105"/>
      <c r="U105" s="20"/>
      <c r="V105" s="20"/>
      <c r="W105" s="20"/>
      <c r="X105" s="43"/>
      <c r="Y105" s="20"/>
      <c r="Z105" s="20"/>
      <c r="AA105" s="20"/>
      <c r="AB105" s="20"/>
      <c r="AC105" s="16"/>
      <c r="AD105" s="16"/>
      <c r="AE105" s="40"/>
      <c r="AF105" s="40"/>
      <c r="AG105" s="40"/>
      <c r="AH105" s="16"/>
      <c r="AI105" s="16"/>
      <c r="AJ105" s="16"/>
      <c r="AK105" s="16"/>
      <c r="AL105" s="16"/>
      <c r="AM105" s="17"/>
      <c r="AN105" s="16"/>
      <c r="AO105" s="16"/>
      <c r="AP105" s="17"/>
      <c r="AQ105" s="16"/>
      <c r="AR105" s="17"/>
      <c r="AS105" s="17"/>
      <c r="AT105" s="16"/>
      <c r="AU105" s="107"/>
      <c r="AV105" s="16"/>
      <c r="AW105" s="107"/>
      <c r="AX105" s="16"/>
      <c r="AY105" s="16"/>
      <c r="AZ105" s="16"/>
      <c r="BA105" s="16"/>
      <c r="BB105" s="107"/>
      <c r="BC105" s="107"/>
      <c r="BD105" s="16"/>
      <c r="BE105" s="16"/>
      <c r="BF105" s="16"/>
      <c r="BG105" s="16"/>
      <c r="BH105" s="16"/>
      <c r="BI105" s="16"/>
      <c r="BJ105" s="16"/>
      <c r="BK105" s="16"/>
      <c r="BL105" s="16"/>
    </row>
    <row r="106">
      <c r="A106" s="15"/>
      <c r="B106" s="92" t="s">
        <v>199</v>
      </c>
      <c r="C106" s="17" t="s">
        <v>89</v>
      </c>
      <c r="D106" s="20"/>
      <c r="E106" s="105"/>
      <c r="F106" s="20"/>
      <c r="G106" s="20"/>
      <c r="H106" s="105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105"/>
      <c r="U106" s="20"/>
      <c r="V106" s="20"/>
      <c r="W106" s="20"/>
      <c r="X106" s="43"/>
      <c r="Y106" s="20"/>
      <c r="Z106" s="20"/>
      <c r="AA106" s="20"/>
      <c r="AB106" s="20"/>
      <c r="AC106" s="16"/>
      <c r="AD106" s="16"/>
      <c r="AE106" s="40"/>
      <c r="AF106" s="40"/>
      <c r="AG106" s="40"/>
      <c r="AH106" s="16"/>
      <c r="AI106" s="16"/>
      <c r="AJ106" s="16"/>
      <c r="AK106" s="16"/>
      <c r="AL106" s="16"/>
      <c r="AM106" s="17"/>
      <c r="AN106" s="16"/>
      <c r="AO106" s="16"/>
      <c r="AP106" s="17"/>
      <c r="AQ106" s="16"/>
      <c r="AR106" s="17"/>
      <c r="AS106" s="17"/>
      <c r="AT106" s="16"/>
      <c r="AU106" s="107"/>
      <c r="AV106" s="16"/>
      <c r="AW106" s="107"/>
      <c r="AX106" s="16"/>
      <c r="AY106" s="16"/>
      <c r="AZ106" s="16"/>
      <c r="BA106" s="16"/>
      <c r="BB106" s="107"/>
      <c r="BC106" s="107"/>
      <c r="BD106" s="16"/>
      <c r="BE106" s="16"/>
      <c r="BF106" s="16"/>
      <c r="BG106" s="16"/>
      <c r="BH106" s="16"/>
      <c r="BI106" s="16"/>
      <c r="BJ106" s="16"/>
      <c r="BK106" s="16"/>
      <c r="BL106" s="16"/>
    </row>
    <row r="107">
      <c r="A107" s="15"/>
      <c r="B107" s="92" t="s">
        <v>200</v>
      </c>
      <c r="C107" s="17" t="s">
        <v>89</v>
      </c>
      <c r="D107" s="20"/>
      <c r="E107" s="105"/>
      <c r="F107" s="20"/>
      <c r="G107" s="20"/>
      <c r="H107" s="105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105"/>
      <c r="U107" s="20"/>
      <c r="V107" s="20"/>
      <c r="W107" s="20"/>
      <c r="X107" s="43"/>
      <c r="Y107" s="20"/>
      <c r="Z107" s="20"/>
      <c r="AA107" s="20"/>
      <c r="AB107" s="20"/>
      <c r="AC107" s="16"/>
      <c r="AD107" s="16"/>
      <c r="AE107" s="40"/>
      <c r="AF107" s="40"/>
      <c r="AG107" s="40"/>
      <c r="AH107" s="16"/>
      <c r="AI107" s="16"/>
      <c r="AJ107" s="16"/>
      <c r="AK107" s="16"/>
      <c r="AL107" s="16"/>
      <c r="AM107" s="17"/>
      <c r="AN107" s="16"/>
      <c r="AO107" s="16"/>
      <c r="AP107" s="17"/>
      <c r="AQ107" s="16"/>
      <c r="AR107" s="17"/>
      <c r="AS107" s="17"/>
      <c r="AT107" s="16"/>
      <c r="AU107" s="107"/>
      <c r="AV107" s="16"/>
      <c r="AW107" s="107"/>
      <c r="AX107" s="16"/>
      <c r="AY107" s="16"/>
      <c r="AZ107" s="16"/>
      <c r="BA107" s="16"/>
      <c r="BB107" s="107"/>
      <c r="BC107" s="107"/>
      <c r="BD107" s="16"/>
      <c r="BE107" s="16"/>
      <c r="BF107" s="16"/>
      <c r="BG107" s="16"/>
      <c r="BH107" s="16"/>
      <c r="BI107" s="16"/>
      <c r="BJ107" s="16"/>
      <c r="BK107" s="16"/>
      <c r="BL107" s="16"/>
    </row>
    <row r="108">
      <c r="A108" s="15"/>
      <c r="B108" s="16" t="s">
        <v>201</v>
      </c>
      <c r="C108" s="17" t="s">
        <v>89</v>
      </c>
      <c r="D108" s="20"/>
      <c r="E108" s="105"/>
      <c r="F108" s="20"/>
      <c r="G108" s="20"/>
      <c r="H108" s="105"/>
      <c r="I108" s="16" t="s">
        <v>4</v>
      </c>
      <c r="J108" s="20"/>
      <c r="K108" s="20"/>
      <c r="L108" s="20"/>
      <c r="M108" s="20"/>
      <c r="N108" s="16" t="s">
        <v>4</v>
      </c>
      <c r="O108" s="20"/>
      <c r="P108" s="16" t="s">
        <v>4</v>
      </c>
      <c r="Q108" s="20"/>
      <c r="R108" s="20"/>
      <c r="S108" s="20"/>
      <c r="T108" s="105"/>
      <c r="U108" s="20"/>
      <c r="V108" s="20"/>
      <c r="W108" s="16" t="s">
        <v>4</v>
      </c>
      <c r="X108" s="43"/>
      <c r="Y108" s="20"/>
      <c r="Z108" s="16" t="s">
        <v>4</v>
      </c>
      <c r="AA108" s="16" t="s">
        <v>4</v>
      </c>
      <c r="AB108" s="20"/>
      <c r="AC108" s="16"/>
      <c r="AD108" s="16"/>
      <c r="AE108" s="40"/>
      <c r="AF108" s="40"/>
      <c r="AG108" s="40"/>
      <c r="AH108" s="16"/>
      <c r="AI108" s="16"/>
      <c r="AJ108" s="16"/>
      <c r="AK108" s="16"/>
      <c r="AL108" s="16" t="s">
        <v>4</v>
      </c>
      <c r="AM108" s="17"/>
      <c r="AN108" s="16"/>
      <c r="AO108" s="16"/>
      <c r="AP108" s="17"/>
      <c r="AQ108" s="16"/>
      <c r="AR108" s="17"/>
      <c r="AS108" s="17"/>
      <c r="AT108" s="16"/>
      <c r="AU108" s="107"/>
      <c r="AV108" s="16"/>
      <c r="AW108" s="107"/>
      <c r="AX108" s="16"/>
      <c r="AY108" s="16"/>
      <c r="AZ108" s="16"/>
      <c r="BA108" s="16"/>
      <c r="BB108" s="107"/>
      <c r="BC108" s="107"/>
      <c r="BD108" s="16"/>
      <c r="BE108" s="16"/>
      <c r="BF108" s="16"/>
      <c r="BG108" s="16"/>
      <c r="BH108" s="16"/>
      <c r="BI108" s="16"/>
      <c r="BJ108" s="16"/>
      <c r="BK108" s="16"/>
      <c r="BL108" s="16"/>
    </row>
    <row r="109">
      <c r="A109" s="15"/>
      <c r="B109" s="34" t="s">
        <v>127</v>
      </c>
      <c r="C109" s="17" t="s">
        <v>89</v>
      </c>
      <c r="D109" s="20"/>
      <c r="E109" s="105"/>
      <c r="F109" s="20"/>
      <c r="G109" s="20"/>
      <c r="H109" s="105"/>
      <c r="I109" s="16"/>
      <c r="J109" s="20"/>
      <c r="K109" s="20"/>
      <c r="L109" s="20"/>
      <c r="M109" s="20"/>
      <c r="N109" s="16"/>
      <c r="O109" s="20"/>
      <c r="P109" s="16"/>
      <c r="Q109" s="16" t="s">
        <v>4</v>
      </c>
      <c r="R109" s="20"/>
      <c r="S109" s="20"/>
      <c r="T109" s="105"/>
      <c r="U109" s="20"/>
      <c r="V109" s="20"/>
      <c r="W109" s="20"/>
      <c r="X109" s="43"/>
      <c r="Y109" s="20"/>
      <c r="Z109" s="20"/>
      <c r="AA109" s="20"/>
      <c r="AB109" s="20"/>
      <c r="AC109" s="16"/>
      <c r="AD109" s="16"/>
      <c r="AE109" s="40"/>
      <c r="AF109" s="40"/>
      <c r="AG109" s="40"/>
      <c r="AH109" s="16"/>
      <c r="AI109" s="16"/>
      <c r="AJ109" s="16"/>
      <c r="AK109" s="16"/>
      <c r="AL109" s="16"/>
      <c r="AM109" s="17"/>
      <c r="AN109" s="16"/>
      <c r="AO109" s="16"/>
      <c r="AP109" s="17"/>
      <c r="AQ109" s="16"/>
      <c r="AR109" s="17"/>
      <c r="AS109" s="17"/>
      <c r="AT109" s="16"/>
      <c r="AU109" s="107"/>
      <c r="AV109" s="16"/>
      <c r="AW109" s="107"/>
      <c r="AX109" s="16"/>
      <c r="AY109" s="16"/>
      <c r="AZ109" s="16"/>
      <c r="BA109" s="16"/>
      <c r="BB109" s="107"/>
      <c r="BC109" s="107"/>
      <c r="BD109" s="16"/>
      <c r="BE109" s="16"/>
      <c r="BF109" s="16"/>
      <c r="BG109" s="16"/>
      <c r="BH109" s="16"/>
      <c r="BI109" s="16"/>
      <c r="BJ109" s="16"/>
      <c r="BK109" s="16"/>
      <c r="BL109" s="16"/>
    </row>
    <row r="110">
      <c r="A110" s="15"/>
      <c r="B110" s="34" t="s">
        <v>128</v>
      </c>
      <c r="C110" s="17" t="s">
        <v>89</v>
      </c>
      <c r="D110" s="20"/>
      <c r="E110" s="105"/>
      <c r="F110" s="20"/>
      <c r="G110" s="20"/>
      <c r="H110" s="105"/>
      <c r="I110" s="16"/>
      <c r="J110" s="20"/>
      <c r="K110" s="20"/>
      <c r="L110" s="20"/>
      <c r="M110" s="20"/>
      <c r="N110" s="16"/>
      <c r="O110" s="20"/>
      <c r="P110" s="16"/>
      <c r="Q110" s="16" t="s">
        <v>4</v>
      </c>
      <c r="R110" s="20"/>
      <c r="S110" s="20"/>
      <c r="T110" s="105"/>
      <c r="U110" s="20"/>
      <c r="V110" s="20"/>
      <c r="W110" s="20"/>
      <c r="X110" s="43"/>
      <c r="Y110" s="20"/>
      <c r="Z110" s="20"/>
      <c r="AA110" s="20"/>
      <c r="AB110" s="20"/>
      <c r="AC110" s="16"/>
      <c r="AD110" s="16"/>
      <c r="AE110" s="40"/>
      <c r="AF110" s="40"/>
      <c r="AG110" s="40"/>
      <c r="AH110" s="16"/>
      <c r="AI110" s="16"/>
      <c r="AJ110" s="16"/>
      <c r="AK110" s="16"/>
      <c r="AL110" s="16"/>
      <c r="AM110" s="17"/>
      <c r="AN110" s="16"/>
      <c r="AO110" s="16"/>
      <c r="AP110" s="17"/>
      <c r="AQ110" s="16"/>
      <c r="AR110" s="17"/>
      <c r="AS110" s="17"/>
      <c r="AT110" s="16"/>
      <c r="AU110" s="107"/>
      <c r="AV110" s="16"/>
      <c r="AW110" s="107"/>
      <c r="AX110" s="16"/>
      <c r="AY110" s="16"/>
      <c r="AZ110" s="16"/>
      <c r="BA110" s="16"/>
      <c r="BB110" s="107"/>
      <c r="BC110" s="107"/>
      <c r="BD110" s="16"/>
      <c r="BE110" s="16"/>
      <c r="BF110" s="16"/>
      <c r="BG110" s="16"/>
      <c r="BH110" s="16"/>
      <c r="BI110" s="16"/>
      <c r="BJ110" s="16"/>
      <c r="BK110" s="16"/>
      <c r="BL110" s="16"/>
    </row>
    <row r="111">
      <c r="A111" s="15"/>
      <c r="B111" s="16" t="s">
        <v>202</v>
      </c>
      <c r="C111" s="17" t="s">
        <v>89</v>
      </c>
      <c r="D111" s="20"/>
      <c r="E111" s="105"/>
      <c r="F111" s="20"/>
      <c r="G111" s="20"/>
      <c r="H111" s="105"/>
      <c r="I111" s="16"/>
      <c r="J111" s="20"/>
      <c r="K111" s="20"/>
      <c r="L111" s="20"/>
      <c r="M111" s="20"/>
      <c r="N111" s="16"/>
      <c r="O111" s="20"/>
      <c r="P111" s="16"/>
      <c r="Q111" s="16"/>
      <c r="R111" s="16" t="s">
        <v>4</v>
      </c>
      <c r="S111" s="20"/>
      <c r="T111" s="105"/>
      <c r="U111" s="20"/>
      <c r="V111" s="20"/>
      <c r="W111" s="20"/>
      <c r="X111" s="43"/>
      <c r="Y111" s="20"/>
      <c r="Z111" s="20"/>
      <c r="AA111" s="20"/>
      <c r="AB111" s="20"/>
      <c r="AC111" s="16"/>
      <c r="AD111" s="16"/>
      <c r="AE111" s="40"/>
      <c r="AF111" s="40"/>
      <c r="AG111" s="40"/>
      <c r="AH111" s="16"/>
      <c r="AI111" s="16"/>
      <c r="AJ111" s="16"/>
      <c r="AK111" s="16"/>
      <c r="AL111" s="16"/>
      <c r="AM111" s="17"/>
      <c r="AN111" s="16"/>
      <c r="AO111" s="16"/>
      <c r="AP111" s="17"/>
      <c r="AQ111" s="16"/>
      <c r="AR111" s="17"/>
      <c r="AS111" s="17"/>
      <c r="AT111" s="16"/>
      <c r="AU111" s="107"/>
      <c r="AV111" s="16"/>
      <c r="AW111" s="107"/>
      <c r="AX111" s="16"/>
      <c r="AY111" s="16"/>
      <c r="AZ111" s="16"/>
      <c r="BA111" s="16"/>
      <c r="BB111" s="107"/>
      <c r="BC111" s="107"/>
      <c r="BD111" s="16"/>
      <c r="BE111" s="16"/>
      <c r="BF111" s="16"/>
      <c r="BG111" s="16"/>
      <c r="BH111" s="16"/>
      <c r="BI111" s="16"/>
      <c r="BJ111" s="16"/>
      <c r="BK111" s="16"/>
      <c r="BL111" s="16"/>
    </row>
    <row r="112">
      <c r="A112" s="15"/>
      <c r="B112" s="16" t="s">
        <v>203</v>
      </c>
      <c r="C112" s="17" t="s">
        <v>89</v>
      </c>
      <c r="D112" s="20"/>
      <c r="E112" s="105"/>
      <c r="F112" s="20"/>
      <c r="G112" s="20"/>
      <c r="H112" s="105"/>
      <c r="I112" s="16"/>
      <c r="J112" s="20"/>
      <c r="K112" s="20"/>
      <c r="L112" s="20"/>
      <c r="M112" s="20"/>
      <c r="N112" s="16"/>
      <c r="O112" s="20"/>
      <c r="P112" s="16"/>
      <c r="Q112" s="16"/>
      <c r="R112" s="16" t="s">
        <v>4</v>
      </c>
      <c r="S112" s="20"/>
      <c r="T112" s="105"/>
      <c r="U112" s="20"/>
      <c r="V112" s="20"/>
      <c r="W112" s="20"/>
      <c r="X112" s="43"/>
      <c r="Y112" s="20"/>
      <c r="Z112" s="20"/>
      <c r="AA112" s="20"/>
      <c r="AB112" s="20"/>
      <c r="AC112" s="16"/>
      <c r="AD112" s="16"/>
      <c r="AE112" s="40"/>
      <c r="AF112" s="40"/>
      <c r="AG112" s="40"/>
      <c r="AH112" s="16"/>
      <c r="AI112" s="16"/>
      <c r="AJ112" s="16"/>
      <c r="AK112" s="16"/>
      <c r="AL112" s="16"/>
      <c r="AM112" s="17"/>
      <c r="AN112" s="16"/>
      <c r="AO112" s="16"/>
      <c r="AP112" s="17"/>
      <c r="AQ112" s="16"/>
      <c r="AR112" s="17"/>
      <c r="AS112" s="17"/>
      <c r="AT112" s="16"/>
      <c r="AU112" s="107"/>
      <c r="AV112" s="16"/>
      <c r="AW112" s="107"/>
      <c r="AX112" s="16"/>
      <c r="AY112" s="16"/>
      <c r="AZ112" s="16"/>
      <c r="BA112" s="16"/>
      <c r="BB112" s="107"/>
      <c r="BC112" s="107"/>
      <c r="BD112" s="16"/>
      <c r="BE112" s="16"/>
      <c r="BF112" s="16"/>
      <c r="BG112" s="16"/>
      <c r="BH112" s="16"/>
      <c r="BI112" s="16"/>
      <c r="BJ112" s="16"/>
      <c r="BK112" s="16"/>
      <c r="BL112" s="16"/>
    </row>
    <row r="113">
      <c r="A113" s="15"/>
      <c r="B113" s="16" t="s">
        <v>131</v>
      </c>
      <c r="C113" s="17" t="s">
        <v>89</v>
      </c>
      <c r="D113" s="20"/>
      <c r="E113" s="105"/>
      <c r="F113" s="20"/>
      <c r="G113" s="20"/>
      <c r="H113" s="105"/>
      <c r="I113" s="16"/>
      <c r="J113" s="20"/>
      <c r="K113" s="20"/>
      <c r="L113" s="20"/>
      <c r="M113" s="20"/>
      <c r="N113" s="16"/>
      <c r="O113" s="20"/>
      <c r="P113" s="16"/>
      <c r="Q113" s="16"/>
      <c r="R113" s="16"/>
      <c r="S113" s="20"/>
      <c r="T113" s="105"/>
      <c r="U113" s="20"/>
      <c r="V113" s="20"/>
      <c r="W113" s="20"/>
      <c r="X113" s="43"/>
      <c r="Y113" s="20"/>
      <c r="Z113" s="20"/>
      <c r="AA113" s="20"/>
      <c r="AB113" s="20"/>
      <c r="AC113" s="16"/>
      <c r="AD113" s="16"/>
      <c r="AE113" s="40"/>
      <c r="AF113" s="40"/>
      <c r="AG113" s="40"/>
      <c r="AH113" s="16"/>
      <c r="AI113" s="16"/>
      <c r="AJ113" s="16"/>
      <c r="AK113" s="16"/>
      <c r="AL113" s="16"/>
      <c r="AM113" s="17"/>
      <c r="AN113" s="16"/>
      <c r="AO113" s="16"/>
      <c r="AP113" s="17"/>
      <c r="AQ113" s="16"/>
      <c r="AR113" s="17"/>
      <c r="AS113" s="17"/>
      <c r="AT113" s="16"/>
      <c r="AU113" s="107"/>
      <c r="AV113" s="16"/>
      <c r="AW113" s="107"/>
      <c r="AX113" s="16"/>
      <c r="AY113" s="16"/>
      <c r="AZ113" s="16"/>
      <c r="BA113" s="16"/>
      <c r="BB113" s="107"/>
      <c r="BC113" s="107"/>
      <c r="BD113" s="16"/>
      <c r="BE113" s="16"/>
      <c r="BF113" s="16"/>
      <c r="BG113" s="16"/>
      <c r="BH113" s="16"/>
      <c r="BI113" s="16"/>
      <c r="BJ113" s="16"/>
      <c r="BK113" s="16"/>
      <c r="BL113" s="16"/>
    </row>
    <row r="114">
      <c r="A114" s="15"/>
      <c r="B114" s="16" t="s">
        <v>204</v>
      </c>
      <c r="C114" s="17" t="s">
        <v>89</v>
      </c>
      <c r="D114" s="20"/>
      <c r="E114" s="105"/>
      <c r="F114" s="20"/>
      <c r="G114" s="20"/>
      <c r="H114" s="105"/>
      <c r="I114" s="16"/>
      <c r="J114" s="20"/>
      <c r="K114" s="20"/>
      <c r="L114" s="20"/>
      <c r="M114" s="20"/>
      <c r="N114" s="16"/>
      <c r="O114" s="20"/>
      <c r="P114" s="16"/>
      <c r="Q114" s="16"/>
      <c r="R114" s="16"/>
      <c r="S114" s="20"/>
      <c r="T114" s="105"/>
      <c r="U114" s="16" t="s">
        <v>4</v>
      </c>
      <c r="V114" s="20"/>
      <c r="W114" s="20"/>
      <c r="X114" s="43"/>
      <c r="Y114" s="20"/>
      <c r="Z114" s="20"/>
      <c r="AA114" s="20"/>
      <c r="AB114" s="20"/>
      <c r="AC114" s="16"/>
      <c r="AD114" s="16"/>
      <c r="AE114" s="40"/>
      <c r="AF114" s="40"/>
      <c r="AG114" s="40"/>
      <c r="AH114" s="16"/>
      <c r="AI114" s="16"/>
      <c r="AJ114" s="16"/>
      <c r="AK114" s="16"/>
      <c r="AL114" s="16"/>
      <c r="AM114" s="17"/>
      <c r="AN114" s="16"/>
      <c r="AO114" s="16"/>
      <c r="AP114" s="17"/>
      <c r="AQ114" s="16"/>
      <c r="AR114" s="17"/>
      <c r="AS114" s="17"/>
      <c r="AT114" s="16"/>
      <c r="AU114" s="107"/>
      <c r="AV114" s="16"/>
      <c r="AW114" s="107"/>
      <c r="AX114" s="16"/>
      <c r="AY114" s="16"/>
      <c r="AZ114" s="16"/>
      <c r="BA114" s="16"/>
      <c r="BB114" s="107"/>
      <c r="BC114" s="107"/>
      <c r="BD114" s="16"/>
      <c r="BE114" s="16"/>
      <c r="BF114" s="16"/>
      <c r="BG114" s="16"/>
      <c r="BH114" s="16"/>
      <c r="BI114" s="16"/>
      <c r="BJ114" s="16"/>
      <c r="BK114" s="16"/>
      <c r="BL114" s="16"/>
    </row>
    <row r="115">
      <c r="A115" s="15"/>
      <c r="B115" s="16" t="s">
        <v>205</v>
      </c>
      <c r="C115" s="17" t="s">
        <v>89</v>
      </c>
      <c r="D115" s="20"/>
      <c r="E115" s="105"/>
      <c r="F115" s="20"/>
      <c r="G115" s="20"/>
      <c r="H115" s="105"/>
      <c r="I115" s="16"/>
      <c r="J115" s="20"/>
      <c r="K115" s="20"/>
      <c r="L115" s="20"/>
      <c r="M115" s="20"/>
      <c r="N115" s="16"/>
      <c r="O115" s="20"/>
      <c r="P115" s="16"/>
      <c r="Q115" s="16"/>
      <c r="R115" s="16"/>
      <c r="S115" s="20"/>
      <c r="T115" s="105"/>
      <c r="U115" s="16" t="s">
        <v>4</v>
      </c>
      <c r="V115" s="20"/>
      <c r="W115" s="20"/>
      <c r="X115" s="43"/>
      <c r="Y115" s="20"/>
      <c r="Z115" s="20"/>
      <c r="AA115" s="20"/>
      <c r="AB115" s="20"/>
      <c r="AC115" s="16"/>
      <c r="AD115" s="16"/>
      <c r="AE115" s="40"/>
      <c r="AF115" s="40"/>
      <c r="AG115" s="40"/>
      <c r="AH115" s="16"/>
      <c r="AI115" s="16"/>
      <c r="AJ115" s="16"/>
      <c r="AK115" s="16"/>
      <c r="AL115" s="16"/>
      <c r="AM115" s="17"/>
      <c r="AN115" s="16"/>
      <c r="AO115" s="16"/>
      <c r="AP115" s="17"/>
      <c r="AQ115" s="16"/>
      <c r="AR115" s="17"/>
      <c r="AS115" s="17"/>
      <c r="AT115" s="16"/>
      <c r="AU115" s="107"/>
      <c r="AV115" s="16"/>
      <c r="AW115" s="107"/>
      <c r="AX115" s="16"/>
      <c r="AY115" s="16"/>
      <c r="AZ115" s="16"/>
      <c r="BA115" s="16"/>
      <c r="BB115" s="107"/>
      <c r="BC115" s="107"/>
      <c r="BD115" s="16"/>
      <c r="BE115" s="16"/>
      <c r="BF115" s="16"/>
      <c r="BG115" s="16"/>
      <c r="BH115" s="16"/>
      <c r="BI115" s="16"/>
      <c r="BJ115" s="16"/>
      <c r="BK115" s="16"/>
      <c r="BL115" s="16"/>
    </row>
    <row r="116">
      <c r="A116" s="15"/>
      <c r="B116" s="16" t="s">
        <v>206</v>
      </c>
      <c r="C116" s="17" t="s">
        <v>89</v>
      </c>
      <c r="D116" s="20"/>
      <c r="E116" s="105"/>
      <c r="F116" s="20"/>
      <c r="G116" s="20"/>
      <c r="H116" s="105"/>
      <c r="I116" s="16"/>
      <c r="J116" s="20"/>
      <c r="K116" s="20"/>
      <c r="L116" s="20"/>
      <c r="M116" s="20"/>
      <c r="N116" s="16"/>
      <c r="O116" s="20"/>
      <c r="P116" s="16"/>
      <c r="Q116" s="16"/>
      <c r="R116" s="16"/>
      <c r="S116" s="20"/>
      <c r="T116" s="105"/>
      <c r="U116" s="16" t="s">
        <v>4</v>
      </c>
      <c r="V116" s="16" t="s">
        <v>4</v>
      </c>
      <c r="W116" s="20"/>
      <c r="X116" s="43"/>
      <c r="Y116" s="20"/>
      <c r="Z116" s="16" t="s">
        <v>4</v>
      </c>
      <c r="AA116" s="20"/>
      <c r="AB116" s="16" t="s">
        <v>4</v>
      </c>
      <c r="AC116" s="16"/>
      <c r="AD116" s="16"/>
      <c r="AE116" s="40"/>
      <c r="AF116" s="40"/>
      <c r="AG116" s="40"/>
      <c r="AH116" s="16"/>
      <c r="AI116" s="16"/>
      <c r="AJ116" s="16"/>
      <c r="AK116" s="16"/>
      <c r="AL116" s="16"/>
      <c r="AM116" s="17"/>
      <c r="AN116" s="16"/>
      <c r="AO116" s="16"/>
      <c r="AP116" s="17"/>
      <c r="AQ116" s="16"/>
      <c r="AR116" s="17"/>
      <c r="AS116" s="17"/>
      <c r="AT116" s="16"/>
      <c r="AU116" s="107"/>
      <c r="AV116" s="16"/>
      <c r="AW116" s="107"/>
      <c r="AX116" s="16"/>
      <c r="AY116" s="16"/>
      <c r="AZ116" s="16"/>
      <c r="BA116" s="16"/>
      <c r="BB116" s="107"/>
      <c r="BC116" s="107"/>
      <c r="BD116" s="16"/>
      <c r="BE116" s="16"/>
      <c r="BF116" s="16"/>
      <c r="BG116" s="16"/>
      <c r="BH116" s="16"/>
      <c r="BI116" s="16"/>
      <c r="BJ116" s="16"/>
      <c r="BK116" s="16"/>
      <c r="BL116" s="16"/>
    </row>
    <row r="117">
      <c r="A117" s="15"/>
      <c r="B117" s="16" t="s">
        <v>78</v>
      </c>
      <c r="C117" s="17" t="s">
        <v>89</v>
      </c>
      <c r="D117" s="20"/>
      <c r="E117" s="105"/>
      <c r="F117" s="20"/>
      <c r="G117" s="20"/>
      <c r="H117" s="105"/>
      <c r="I117" s="16"/>
      <c r="J117" s="20"/>
      <c r="K117" s="20"/>
      <c r="L117" s="20"/>
      <c r="M117" s="20"/>
      <c r="N117" s="16"/>
      <c r="O117" s="20"/>
      <c r="P117" s="16"/>
      <c r="Q117" s="16"/>
      <c r="R117" s="16"/>
      <c r="S117" s="20"/>
      <c r="T117" s="105"/>
      <c r="U117" s="16" t="s">
        <v>4</v>
      </c>
      <c r="V117" s="20"/>
      <c r="W117" s="16" t="s">
        <v>4</v>
      </c>
      <c r="X117" s="43"/>
      <c r="Y117" s="20"/>
      <c r="Z117" s="20"/>
      <c r="AA117" s="20"/>
      <c r="AB117" s="20"/>
      <c r="AC117" s="16"/>
      <c r="AD117" s="16"/>
      <c r="AE117" s="40"/>
      <c r="AF117" s="40"/>
      <c r="AG117" s="40"/>
      <c r="AH117" s="16"/>
      <c r="AI117" s="16"/>
      <c r="AJ117" s="16"/>
      <c r="AK117" s="16"/>
      <c r="AL117" s="16"/>
      <c r="AM117" s="17"/>
      <c r="AN117" s="16"/>
      <c r="AO117" s="16"/>
      <c r="AP117" s="17"/>
      <c r="AQ117" s="16"/>
      <c r="AR117" s="17"/>
      <c r="AS117" s="17"/>
      <c r="AT117" s="16"/>
      <c r="AU117" s="107"/>
      <c r="AV117" s="16"/>
      <c r="AW117" s="107"/>
      <c r="AX117" s="16"/>
      <c r="AY117" s="16"/>
      <c r="AZ117" s="16"/>
      <c r="BA117" s="16"/>
      <c r="BB117" s="107"/>
      <c r="BC117" s="107"/>
      <c r="BD117" s="16"/>
      <c r="BE117" s="16"/>
      <c r="BF117" s="16"/>
      <c r="BG117" s="16"/>
      <c r="BH117" s="16"/>
      <c r="BI117" s="16"/>
      <c r="BJ117" s="16"/>
      <c r="BK117" s="16"/>
      <c r="BL117" s="16"/>
    </row>
    <row r="118">
      <c r="A118" s="15"/>
      <c r="B118" s="16" t="s">
        <v>207</v>
      </c>
      <c r="C118" s="17" t="s">
        <v>89</v>
      </c>
      <c r="D118" s="20"/>
      <c r="E118" s="105"/>
      <c r="F118" s="20"/>
      <c r="G118" s="20"/>
      <c r="H118" s="105"/>
      <c r="I118" s="16"/>
      <c r="J118" s="20"/>
      <c r="K118" s="20"/>
      <c r="L118" s="20"/>
      <c r="M118" s="20"/>
      <c r="N118" s="16"/>
      <c r="O118" s="20"/>
      <c r="P118" s="16"/>
      <c r="Q118" s="16"/>
      <c r="R118" s="16"/>
      <c r="S118" s="20"/>
      <c r="T118" s="105"/>
      <c r="U118" s="16"/>
      <c r="V118" s="16" t="s">
        <v>4</v>
      </c>
      <c r="W118" s="20"/>
      <c r="X118" s="43"/>
      <c r="Y118" s="20"/>
      <c r="Z118" s="20"/>
      <c r="AA118" s="20"/>
      <c r="AB118" s="20"/>
      <c r="AC118" s="16"/>
      <c r="AD118" s="16"/>
      <c r="AE118" s="40"/>
      <c r="AF118" s="40"/>
      <c r="AG118" s="40"/>
      <c r="AH118" s="16"/>
      <c r="AI118" s="16"/>
      <c r="AJ118" s="16"/>
      <c r="AK118" s="16"/>
      <c r="AL118" s="16"/>
      <c r="AM118" s="17"/>
      <c r="AN118" s="16"/>
      <c r="AO118" s="16"/>
      <c r="AP118" s="17"/>
      <c r="AQ118" s="16"/>
      <c r="AR118" s="17"/>
      <c r="AS118" s="17"/>
      <c r="AT118" s="16"/>
      <c r="AU118" s="107"/>
      <c r="AV118" s="16"/>
      <c r="AW118" s="107"/>
      <c r="AX118" s="16"/>
      <c r="AY118" s="16"/>
      <c r="AZ118" s="16"/>
      <c r="BA118" s="16"/>
      <c r="BB118" s="107"/>
      <c r="BC118" s="107"/>
      <c r="BD118" s="16"/>
      <c r="BE118" s="16"/>
      <c r="BF118" s="16"/>
      <c r="BG118" s="16"/>
      <c r="BH118" s="16"/>
      <c r="BI118" s="16"/>
      <c r="BJ118" s="16"/>
      <c r="BK118" s="16"/>
      <c r="BL118" s="16"/>
    </row>
    <row r="119">
      <c r="A119" s="15"/>
      <c r="B119" s="16" t="s">
        <v>208</v>
      </c>
      <c r="C119" s="17" t="s">
        <v>89</v>
      </c>
      <c r="D119" s="20"/>
      <c r="E119" s="105"/>
      <c r="F119" s="20"/>
      <c r="G119" s="20"/>
      <c r="H119" s="105"/>
      <c r="I119" s="16"/>
      <c r="J119" s="20"/>
      <c r="K119" s="20"/>
      <c r="L119" s="20"/>
      <c r="M119" s="20"/>
      <c r="N119" s="16"/>
      <c r="O119" s="20"/>
      <c r="P119" s="16"/>
      <c r="Q119" s="16"/>
      <c r="R119" s="16"/>
      <c r="S119" s="20"/>
      <c r="T119" s="105"/>
      <c r="U119" s="16"/>
      <c r="V119" s="16" t="s">
        <v>4</v>
      </c>
      <c r="W119" s="20"/>
      <c r="X119" s="43"/>
      <c r="Y119" s="20"/>
      <c r="Z119" s="20"/>
      <c r="AA119" s="20"/>
      <c r="AB119" s="20"/>
      <c r="AC119" s="16"/>
      <c r="AD119" s="16"/>
      <c r="AE119" s="40"/>
      <c r="AF119" s="40"/>
      <c r="AG119" s="40"/>
      <c r="AH119" s="16"/>
      <c r="AI119" s="16"/>
      <c r="AJ119" s="16"/>
      <c r="AK119" s="16"/>
      <c r="AL119" s="16"/>
      <c r="AM119" s="17"/>
      <c r="AN119" s="16"/>
      <c r="AO119" s="16"/>
      <c r="AP119" s="17"/>
      <c r="AQ119" s="16"/>
      <c r="AR119" s="17"/>
      <c r="AS119" s="17"/>
      <c r="AT119" s="16"/>
      <c r="AU119" s="107"/>
      <c r="AV119" s="16"/>
      <c r="AW119" s="107"/>
      <c r="AX119" s="16"/>
      <c r="AY119" s="16"/>
      <c r="AZ119" s="16"/>
      <c r="BA119" s="16"/>
      <c r="BB119" s="107"/>
      <c r="BC119" s="107"/>
      <c r="BD119" s="16"/>
      <c r="BE119" s="16"/>
      <c r="BF119" s="16"/>
      <c r="BG119" s="16"/>
      <c r="BH119" s="16"/>
      <c r="BI119" s="16"/>
      <c r="BJ119" s="16"/>
      <c r="BK119" s="16"/>
      <c r="BL119" s="16"/>
    </row>
    <row r="120">
      <c r="A120" s="15"/>
      <c r="B120" s="16" t="s">
        <v>209</v>
      </c>
      <c r="C120" s="17" t="s">
        <v>89</v>
      </c>
      <c r="D120" s="20"/>
      <c r="E120" s="105"/>
      <c r="F120" s="20"/>
      <c r="G120" s="20"/>
      <c r="H120" s="105"/>
      <c r="I120" s="16"/>
      <c r="J120" s="20"/>
      <c r="K120" s="20"/>
      <c r="L120" s="20"/>
      <c r="M120" s="20"/>
      <c r="N120" s="16"/>
      <c r="O120" s="20"/>
      <c r="P120" s="16"/>
      <c r="Q120" s="16"/>
      <c r="R120" s="16"/>
      <c r="S120" s="20"/>
      <c r="T120" s="105"/>
      <c r="U120" s="16"/>
      <c r="V120" s="16"/>
      <c r="W120" s="16" t="s">
        <v>4</v>
      </c>
      <c r="X120" s="43"/>
      <c r="Y120" s="20"/>
      <c r="Z120" s="20"/>
      <c r="AA120" s="20"/>
      <c r="AB120" s="20"/>
      <c r="AC120" s="16"/>
      <c r="AD120" s="16"/>
      <c r="AE120" s="40"/>
      <c r="AF120" s="40"/>
      <c r="AG120" s="40"/>
      <c r="AH120" s="16"/>
      <c r="AI120" s="16"/>
      <c r="AJ120" s="16"/>
      <c r="AK120" s="16"/>
      <c r="AL120" s="16"/>
      <c r="AM120" s="17"/>
      <c r="AN120" s="16"/>
      <c r="AO120" s="16"/>
      <c r="AP120" s="17"/>
      <c r="AQ120" s="16"/>
      <c r="AR120" s="17"/>
      <c r="AS120" s="17"/>
      <c r="AT120" s="16"/>
      <c r="AU120" s="107"/>
      <c r="AV120" s="16"/>
      <c r="AW120" s="107"/>
      <c r="AX120" s="16"/>
      <c r="AY120" s="16"/>
      <c r="AZ120" s="16"/>
      <c r="BA120" s="16"/>
      <c r="BB120" s="107"/>
      <c r="BC120" s="107"/>
      <c r="BD120" s="16"/>
      <c r="BE120" s="16"/>
      <c r="BF120" s="16"/>
      <c r="BG120" s="16"/>
      <c r="BH120" s="16"/>
      <c r="BI120" s="16"/>
      <c r="BJ120" s="16"/>
      <c r="BK120" s="16"/>
      <c r="BL120" s="16"/>
    </row>
    <row r="121">
      <c r="A121" s="15"/>
      <c r="B121" s="16" t="s">
        <v>210</v>
      </c>
      <c r="C121" s="17" t="s">
        <v>89</v>
      </c>
      <c r="D121" s="20"/>
      <c r="E121" s="105"/>
      <c r="F121" s="20"/>
      <c r="G121" s="20"/>
      <c r="H121" s="105"/>
      <c r="I121" s="16"/>
      <c r="J121" s="20"/>
      <c r="K121" s="20"/>
      <c r="L121" s="20"/>
      <c r="M121" s="20"/>
      <c r="N121" s="16"/>
      <c r="O121" s="20"/>
      <c r="P121" s="16"/>
      <c r="Q121" s="16"/>
      <c r="R121" s="16"/>
      <c r="S121" s="20"/>
      <c r="T121" s="105"/>
      <c r="U121" s="16"/>
      <c r="V121" s="16"/>
      <c r="W121" s="16" t="s">
        <v>4</v>
      </c>
      <c r="X121" s="43"/>
      <c r="Y121" s="20"/>
      <c r="Z121" s="20"/>
      <c r="AA121" s="20"/>
      <c r="AB121" s="20"/>
      <c r="AC121" s="16"/>
      <c r="AD121" s="16"/>
      <c r="AE121" s="40"/>
      <c r="AF121" s="40"/>
      <c r="AG121" s="40"/>
      <c r="AH121" s="16"/>
      <c r="AI121" s="16"/>
      <c r="AJ121" s="16"/>
      <c r="AK121" s="16"/>
      <c r="AL121" s="16"/>
      <c r="AM121" s="17"/>
      <c r="AN121" s="16"/>
      <c r="AO121" s="16"/>
      <c r="AP121" s="17"/>
      <c r="AQ121" s="16"/>
      <c r="AR121" s="17"/>
      <c r="AS121" s="17"/>
      <c r="AT121" s="16"/>
      <c r="AU121" s="107"/>
      <c r="AV121" s="16"/>
      <c r="AW121" s="107"/>
      <c r="AX121" s="16"/>
      <c r="AY121" s="16"/>
      <c r="AZ121" s="16"/>
      <c r="BA121" s="16"/>
      <c r="BB121" s="107"/>
      <c r="BC121" s="107"/>
      <c r="BD121" s="16"/>
      <c r="BE121" s="16"/>
      <c r="BF121" s="16"/>
      <c r="BG121" s="16"/>
      <c r="BH121" s="16"/>
      <c r="BI121" s="16"/>
      <c r="BJ121" s="16"/>
      <c r="BK121" s="16"/>
      <c r="BL121" s="16"/>
    </row>
    <row r="122">
      <c r="A122" s="15"/>
      <c r="B122" s="16" t="s">
        <v>211</v>
      </c>
      <c r="C122" s="17" t="s">
        <v>89</v>
      </c>
      <c r="D122" s="20"/>
      <c r="E122" s="105"/>
      <c r="F122" s="20"/>
      <c r="G122" s="20"/>
      <c r="H122" s="105"/>
      <c r="I122" s="16"/>
      <c r="J122" s="20"/>
      <c r="K122" s="20"/>
      <c r="L122" s="20"/>
      <c r="M122" s="20"/>
      <c r="N122" s="16"/>
      <c r="O122" s="20"/>
      <c r="P122" s="16"/>
      <c r="Q122" s="16"/>
      <c r="R122" s="16"/>
      <c r="S122" s="20"/>
      <c r="T122" s="105"/>
      <c r="U122" s="16"/>
      <c r="V122" s="16"/>
      <c r="W122" s="16" t="s">
        <v>4</v>
      </c>
      <c r="X122" s="43"/>
      <c r="Y122" s="20"/>
      <c r="Z122" s="20"/>
      <c r="AA122" s="20"/>
      <c r="AB122" s="20"/>
      <c r="AC122" s="16"/>
      <c r="AD122" s="16"/>
      <c r="AE122" s="40"/>
      <c r="AF122" s="40"/>
      <c r="AG122" s="40"/>
      <c r="AH122" s="16"/>
      <c r="AI122" s="16"/>
      <c r="AJ122" s="16"/>
      <c r="AK122" s="16"/>
      <c r="AL122" s="16"/>
      <c r="AM122" s="17"/>
      <c r="AN122" s="16"/>
      <c r="AO122" s="16"/>
      <c r="AP122" s="17"/>
      <c r="AQ122" s="16"/>
      <c r="AR122" s="17"/>
      <c r="AS122" s="17"/>
      <c r="AT122" s="16"/>
      <c r="AU122" s="107"/>
      <c r="AV122" s="16"/>
      <c r="AW122" s="107"/>
      <c r="AX122" s="16"/>
      <c r="AY122" s="16"/>
      <c r="AZ122" s="16"/>
      <c r="BA122" s="16"/>
      <c r="BB122" s="107"/>
      <c r="BC122" s="107"/>
      <c r="BD122" s="16"/>
      <c r="BE122" s="16"/>
      <c r="BF122" s="16"/>
      <c r="BG122" s="16"/>
      <c r="BH122" s="16"/>
      <c r="BI122" s="16"/>
      <c r="BJ122" s="16"/>
      <c r="BK122" s="16"/>
      <c r="BL122" s="16"/>
    </row>
    <row r="123">
      <c r="A123" s="15"/>
      <c r="B123" s="16" t="s">
        <v>212</v>
      </c>
      <c r="C123" s="17" t="s">
        <v>89</v>
      </c>
      <c r="D123" s="20"/>
      <c r="E123" s="105"/>
      <c r="F123" s="20"/>
      <c r="G123" s="20"/>
      <c r="H123" s="105"/>
      <c r="I123" s="16"/>
      <c r="J123" s="20"/>
      <c r="K123" s="20"/>
      <c r="L123" s="20"/>
      <c r="M123" s="20"/>
      <c r="N123" s="16"/>
      <c r="O123" s="20"/>
      <c r="P123" s="16"/>
      <c r="Q123" s="16"/>
      <c r="R123" s="16"/>
      <c r="S123" s="20"/>
      <c r="T123" s="105"/>
      <c r="U123" s="16"/>
      <c r="V123" s="16"/>
      <c r="W123" s="16"/>
      <c r="X123" s="43"/>
      <c r="Y123" s="20"/>
      <c r="Z123" s="20"/>
      <c r="AA123" s="16" t="s">
        <v>4</v>
      </c>
      <c r="AB123" s="20"/>
      <c r="AC123" s="16"/>
      <c r="AD123" s="16"/>
      <c r="AE123" s="40"/>
      <c r="AF123" s="40"/>
      <c r="AG123" s="40"/>
      <c r="AH123" s="16"/>
      <c r="AI123" s="16" t="s">
        <v>4</v>
      </c>
      <c r="AJ123" s="16"/>
      <c r="AK123" s="16"/>
      <c r="AL123" s="16"/>
      <c r="AM123" s="17"/>
      <c r="AN123" s="16"/>
      <c r="AO123" s="16"/>
      <c r="AP123" s="17"/>
      <c r="AQ123" s="16"/>
      <c r="AR123" s="17"/>
      <c r="AS123" s="17"/>
      <c r="AT123" s="16"/>
      <c r="AU123" s="107"/>
      <c r="AV123" s="16"/>
      <c r="AW123" s="107"/>
      <c r="AX123" s="16"/>
      <c r="AY123" s="16"/>
      <c r="AZ123" s="16"/>
      <c r="BA123" s="16"/>
      <c r="BB123" s="107"/>
      <c r="BC123" s="107"/>
      <c r="BD123" s="16"/>
      <c r="BE123" s="16"/>
      <c r="BF123" s="16"/>
      <c r="BG123" s="16"/>
      <c r="BH123" s="16"/>
      <c r="BI123" s="16"/>
      <c r="BJ123" s="16"/>
      <c r="BK123" s="16"/>
      <c r="BL123" s="16"/>
    </row>
    <row r="124">
      <c r="A124" s="15"/>
      <c r="B124" s="16" t="s">
        <v>213</v>
      </c>
      <c r="C124" s="17" t="s">
        <v>89</v>
      </c>
      <c r="D124" s="20"/>
      <c r="E124" s="105"/>
      <c r="F124" s="20"/>
      <c r="G124" s="20"/>
      <c r="H124" s="105"/>
      <c r="I124" s="16"/>
      <c r="J124" s="20"/>
      <c r="K124" s="20"/>
      <c r="L124" s="20"/>
      <c r="M124" s="20"/>
      <c r="N124" s="16"/>
      <c r="O124" s="20"/>
      <c r="P124" s="16"/>
      <c r="Q124" s="16"/>
      <c r="R124" s="16"/>
      <c r="S124" s="20"/>
      <c r="T124" s="105"/>
      <c r="U124" s="16"/>
      <c r="V124" s="16"/>
      <c r="W124" s="16"/>
      <c r="X124" s="43"/>
      <c r="Y124" s="20"/>
      <c r="Z124" s="20"/>
      <c r="AA124" s="16" t="s">
        <v>4</v>
      </c>
      <c r="AB124" s="20"/>
      <c r="AC124" s="16"/>
      <c r="AD124" s="16"/>
      <c r="AE124" s="40"/>
      <c r="AF124" s="40"/>
      <c r="AG124" s="40"/>
      <c r="AH124" s="16"/>
      <c r="AI124" s="16" t="s">
        <v>4</v>
      </c>
      <c r="AJ124" s="16"/>
      <c r="AK124" s="16"/>
      <c r="AL124" s="16"/>
      <c r="AM124" s="17"/>
      <c r="AN124" s="16"/>
      <c r="AO124" s="16"/>
      <c r="AP124" s="17"/>
      <c r="AQ124" s="16"/>
      <c r="AR124" s="17"/>
      <c r="AS124" s="17"/>
      <c r="AT124" s="16"/>
      <c r="AU124" s="107"/>
      <c r="AV124" s="16"/>
      <c r="AW124" s="107"/>
      <c r="AX124" s="16"/>
      <c r="AY124" s="16"/>
      <c r="AZ124" s="16"/>
      <c r="BA124" s="16"/>
      <c r="BB124" s="107"/>
      <c r="BC124" s="107"/>
      <c r="BD124" s="16"/>
      <c r="BE124" s="16"/>
      <c r="BF124" s="16"/>
      <c r="BG124" s="16"/>
      <c r="BH124" s="16"/>
      <c r="BI124" s="16"/>
      <c r="BJ124" s="16"/>
      <c r="BK124" s="16"/>
      <c r="BL124" s="16"/>
    </row>
    <row r="125">
      <c r="A125" s="15"/>
      <c r="B125" s="16" t="s">
        <v>214</v>
      </c>
      <c r="C125" s="17" t="s">
        <v>89</v>
      </c>
      <c r="D125" s="20"/>
      <c r="E125" s="105"/>
      <c r="F125" s="20"/>
      <c r="G125" s="20"/>
      <c r="H125" s="105"/>
      <c r="I125" s="16"/>
      <c r="J125" s="20"/>
      <c r="K125" s="20"/>
      <c r="L125" s="20"/>
      <c r="M125" s="20"/>
      <c r="N125" s="16"/>
      <c r="O125" s="20"/>
      <c r="P125" s="16"/>
      <c r="Q125" s="16"/>
      <c r="R125" s="16"/>
      <c r="S125" s="20"/>
      <c r="T125" s="105"/>
      <c r="U125" s="16"/>
      <c r="V125" s="16"/>
      <c r="W125" s="16"/>
      <c r="X125" s="43"/>
      <c r="Y125" s="20"/>
      <c r="Z125" s="20"/>
      <c r="AA125" s="16"/>
      <c r="AB125" s="20"/>
      <c r="AC125" s="16"/>
      <c r="AD125" s="16"/>
      <c r="AE125" s="40"/>
      <c r="AF125" s="40"/>
      <c r="AG125" s="40"/>
      <c r="AH125" s="16"/>
      <c r="AI125" s="16"/>
      <c r="AJ125" s="16" t="s">
        <v>4</v>
      </c>
      <c r="AK125" s="16"/>
      <c r="AL125" s="16"/>
      <c r="AM125" s="17"/>
      <c r="AN125" s="16"/>
      <c r="AO125" s="16"/>
      <c r="AP125" s="17"/>
      <c r="AQ125" s="16"/>
      <c r="AR125" s="17"/>
      <c r="AS125" s="17"/>
      <c r="AT125" s="16"/>
      <c r="AU125" s="107"/>
      <c r="AV125" s="16"/>
      <c r="AW125" s="107"/>
      <c r="AX125" s="16"/>
      <c r="AY125" s="16"/>
      <c r="AZ125" s="16"/>
      <c r="BA125" s="16"/>
      <c r="BB125" s="107"/>
      <c r="BC125" s="107"/>
      <c r="BD125" s="16"/>
      <c r="BE125" s="16"/>
      <c r="BF125" s="16"/>
      <c r="BG125" s="16"/>
      <c r="BH125" s="16"/>
      <c r="BI125" s="16"/>
      <c r="BJ125" s="16"/>
      <c r="BK125" s="16"/>
      <c r="BL125" s="16"/>
    </row>
    <row r="126">
      <c r="A126" s="15"/>
      <c r="B126" s="16" t="s">
        <v>215</v>
      </c>
      <c r="C126" s="17" t="s">
        <v>89</v>
      </c>
      <c r="D126" s="20"/>
      <c r="E126" s="105"/>
      <c r="F126" s="20"/>
      <c r="G126" s="20"/>
      <c r="H126" s="105"/>
      <c r="I126" s="16"/>
      <c r="J126" s="20"/>
      <c r="K126" s="20"/>
      <c r="L126" s="20"/>
      <c r="M126" s="20"/>
      <c r="N126" s="16"/>
      <c r="O126" s="20"/>
      <c r="P126" s="16"/>
      <c r="Q126" s="16"/>
      <c r="R126" s="16"/>
      <c r="S126" s="20"/>
      <c r="T126" s="105"/>
      <c r="U126" s="16"/>
      <c r="V126" s="16"/>
      <c r="W126" s="16"/>
      <c r="X126" s="43"/>
      <c r="Y126" s="20"/>
      <c r="Z126" s="20"/>
      <c r="AA126" s="16"/>
      <c r="AB126" s="20"/>
      <c r="AC126" s="16"/>
      <c r="AD126" s="16"/>
      <c r="AE126" s="40"/>
      <c r="AF126" s="40"/>
      <c r="AG126" s="40"/>
      <c r="AH126" s="16"/>
      <c r="AI126" s="16"/>
      <c r="AJ126" s="16"/>
      <c r="AK126" s="16"/>
      <c r="AL126" s="16"/>
      <c r="AM126" s="17"/>
      <c r="AN126" s="16"/>
      <c r="AO126" s="16"/>
      <c r="AP126" s="17" t="s">
        <v>4</v>
      </c>
      <c r="AQ126" s="16"/>
      <c r="AR126" s="17"/>
      <c r="AS126" s="17"/>
      <c r="AT126" s="16"/>
      <c r="AU126" s="107"/>
      <c r="AV126" s="16"/>
      <c r="AW126" s="107"/>
      <c r="AX126" s="16"/>
      <c r="AY126" s="16"/>
      <c r="AZ126" s="16"/>
      <c r="BA126" s="16"/>
      <c r="BB126" s="107"/>
      <c r="BC126" s="107"/>
      <c r="BD126" s="16"/>
      <c r="BE126" s="16"/>
      <c r="BF126" s="16"/>
      <c r="BG126" s="16"/>
      <c r="BH126" s="16"/>
      <c r="BI126" s="16"/>
      <c r="BJ126" s="16"/>
      <c r="BK126" s="16"/>
      <c r="BL126" s="16"/>
    </row>
    <row r="127">
      <c r="A127" s="15"/>
      <c r="B127" s="16" t="s">
        <v>216</v>
      </c>
      <c r="C127" s="17" t="s">
        <v>89</v>
      </c>
      <c r="D127" s="20"/>
      <c r="E127" s="105"/>
      <c r="F127" s="20"/>
      <c r="G127" s="20"/>
      <c r="H127" s="105"/>
      <c r="I127" s="16"/>
      <c r="J127" s="20"/>
      <c r="K127" s="20"/>
      <c r="L127" s="20"/>
      <c r="M127" s="20"/>
      <c r="N127" s="16"/>
      <c r="O127" s="20"/>
      <c r="P127" s="16"/>
      <c r="Q127" s="16"/>
      <c r="R127" s="16"/>
      <c r="S127" s="20"/>
      <c r="T127" s="105"/>
      <c r="U127" s="16"/>
      <c r="V127" s="16"/>
      <c r="W127" s="16"/>
      <c r="X127" s="43"/>
      <c r="Y127" s="20"/>
      <c r="Z127" s="20"/>
      <c r="AA127" s="16"/>
      <c r="AB127" s="20"/>
      <c r="AC127" s="16"/>
      <c r="AD127" s="16"/>
      <c r="AE127" s="40"/>
      <c r="AF127" s="40"/>
      <c r="AG127" s="40"/>
      <c r="AH127" s="16"/>
      <c r="AI127" s="16"/>
      <c r="AJ127" s="16"/>
      <c r="AK127" s="16"/>
      <c r="AL127" s="16"/>
      <c r="AM127" s="17"/>
      <c r="AN127" s="16"/>
      <c r="AO127" s="16"/>
      <c r="AP127" s="17"/>
      <c r="AQ127" s="16" t="s">
        <v>4</v>
      </c>
      <c r="AR127" s="17"/>
      <c r="AS127" s="17"/>
      <c r="AT127" s="16"/>
      <c r="AU127" s="107"/>
      <c r="AV127" s="16"/>
      <c r="AW127" s="107"/>
      <c r="AX127" s="16"/>
      <c r="AY127" s="16"/>
      <c r="AZ127" s="16"/>
      <c r="BA127" s="16"/>
      <c r="BB127" s="107"/>
      <c r="BC127" s="107"/>
      <c r="BD127" s="16"/>
      <c r="BE127" s="16"/>
      <c r="BF127" s="16"/>
      <c r="BG127" s="16"/>
      <c r="BH127" s="16"/>
      <c r="BI127" s="16"/>
      <c r="BJ127" s="16"/>
      <c r="BK127" s="16"/>
      <c r="BL127" s="16"/>
    </row>
    <row r="128">
      <c r="A128" s="15"/>
      <c r="B128" s="16" t="s">
        <v>217</v>
      </c>
      <c r="C128" s="17" t="s">
        <v>89</v>
      </c>
      <c r="D128" s="20"/>
      <c r="E128" s="105"/>
      <c r="F128" s="20"/>
      <c r="G128" s="20"/>
      <c r="H128" s="105"/>
      <c r="I128" s="16"/>
      <c r="J128" s="20"/>
      <c r="K128" s="20"/>
      <c r="L128" s="20"/>
      <c r="M128" s="20"/>
      <c r="N128" s="16"/>
      <c r="O128" s="20"/>
      <c r="P128" s="16"/>
      <c r="Q128" s="16"/>
      <c r="R128" s="16"/>
      <c r="S128" s="20"/>
      <c r="T128" s="105"/>
      <c r="U128" s="16"/>
      <c r="V128" s="16"/>
      <c r="W128" s="16"/>
      <c r="X128" s="43"/>
      <c r="Y128" s="20"/>
      <c r="Z128" s="20"/>
      <c r="AA128" s="16"/>
      <c r="AB128" s="20"/>
      <c r="AC128" s="16"/>
      <c r="AD128" s="16"/>
      <c r="AE128" s="40"/>
      <c r="AF128" s="40"/>
      <c r="AG128" s="40"/>
      <c r="AH128" s="16"/>
      <c r="AI128" s="16"/>
      <c r="AJ128" s="16"/>
      <c r="AK128" s="16"/>
      <c r="AL128" s="16"/>
      <c r="AM128" s="17"/>
      <c r="AN128" s="16"/>
      <c r="AO128" s="16"/>
      <c r="AP128" s="17"/>
      <c r="AQ128" s="16" t="s">
        <v>4</v>
      </c>
      <c r="AR128" s="17"/>
      <c r="AS128" s="17"/>
      <c r="AT128" s="16"/>
      <c r="AU128" s="107"/>
      <c r="AV128" s="16"/>
      <c r="AW128" s="107"/>
      <c r="AX128" s="16"/>
      <c r="AY128" s="16"/>
      <c r="AZ128" s="16"/>
      <c r="BA128" s="16"/>
      <c r="BB128" s="107"/>
      <c r="BC128" s="107"/>
      <c r="BD128" s="16"/>
      <c r="BE128" s="16"/>
      <c r="BF128" s="16"/>
      <c r="BG128" s="16"/>
      <c r="BH128" s="16"/>
      <c r="BI128" s="16"/>
      <c r="BJ128" s="16"/>
      <c r="BK128" s="16"/>
      <c r="BL128" s="16"/>
    </row>
    <row r="129">
      <c r="A129" s="15"/>
      <c r="B129" s="16" t="s">
        <v>218</v>
      </c>
      <c r="C129" s="17" t="s">
        <v>89</v>
      </c>
      <c r="D129" s="20"/>
      <c r="E129" s="105"/>
      <c r="F129" s="20"/>
      <c r="G129" s="20"/>
      <c r="H129" s="105"/>
      <c r="I129" s="16"/>
      <c r="J129" s="20"/>
      <c r="K129" s="20"/>
      <c r="L129" s="20"/>
      <c r="M129" s="20"/>
      <c r="N129" s="16"/>
      <c r="O129" s="20"/>
      <c r="P129" s="16"/>
      <c r="Q129" s="16"/>
      <c r="R129" s="16"/>
      <c r="S129" s="20"/>
      <c r="T129" s="105"/>
      <c r="U129" s="16"/>
      <c r="V129" s="16"/>
      <c r="W129" s="16"/>
      <c r="X129" s="43"/>
      <c r="Y129" s="20"/>
      <c r="Z129" s="20"/>
      <c r="AA129" s="16"/>
      <c r="AB129" s="20"/>
      <c r="AC129" s="16"/>
      <c r="AD129" s="16"/>
      <c r="AE129" s="40"/>
      <c r="AF129" s="40"/>
      <c r="AG129" s="40"/>
      <c r="AH129" s="16"/>
      <c r="AI129" s="16"/>
      <c r="AJ129" s="16"/>
      <c r="AK129" s="16"/>
      <c r="AL129" s="16"/>
      <c r="AM129" s="17"/>
      <c r="AN129" s="16"/>
      <c r="AO129" s="16"/>
      <c r="AP129" s="17"/>
      <c r="AQ129" s="16" t="s">
        <v>4</v>
      </c>
      <c r="AR129" s="17"/>
      <c r="AS129" s="17"/>
      <c r="AT129" s="16"/>
      <c r="AU129" s="107"/>
      <c r="AV129" s="16"/>
      <c r="AW129" s="107"/>
      <c r="AX129" s="16"/>
      <c r="AY129" s="16"/>
      <c r="AZ129" s="16"/>
      <c r="BA129" s="16"/>
      <c r="BB129" s="107"/>
      <c r="BC129" s="107"/>
      <c r="BD129" s="16"/>
      <c r="BE129" s="16"/>
      <c r="BF129" s="16"/>
      <c r="BG129" s="16"/>
      <c r="BH129" s="16"/>
      <c r="BI129" s="16"/>
      <c r="BJ129" s="16"/>
      <c r="BK129" s="16"/>
      <c r="BL129" s="16"/>
    </row>
    <row r="130">
      <c r="A130" s="15"/>
      <c r="B130" s="28" t="s">
        <v>121</v>
      </c>
      <c r="C130" s="17" t="s">
        <v>89</v>
      </c>
      <c r="D130" s="20"/>
      <c r="E130" s="105"/>
      <c r="F130" s="20"/>
      <c r="G130" s="20"/>
      <c r="H130" s="105"/>
      <c r="I130" s="16"/>
      <c r="J130" s="20"/>
      <c r="K130" s="20"/>
      <c r="L130" s="20"/>
      <c r="M130" s="20"/>
      <c r="N130" s="16"/>
      <c r="O130" s="20"/>
      <c r="P130" s="16"/>
      <c r="Q130" s="16"/>
      <c r="R130" s="16"/>
      <c r="S130" s="20"/>
      <c r="T130" s="105"/>
      <c r="U130" s="16"/>
      <c r="V130" s="16"/>
      <c r="W130" s="16"/>
      <c r="X130" s="43"/>
      <c r="Y130" s="20"/>
      <c r="Z130" s="20"/>
      <c r="AA130" s="16"/>
      <c r="AB130" s="20"/>
      <c r="AC130" s="16"/>
      <c r="AD130" s="16"/>
      <c r="AE130" s="40"/>
      <c r="AF130" s="40"/>
      <c r="AG130" s="40"/>
      <c r="AH130" s="16"/>
      <c r="AI130" s="16"/>
      <c r="AJ130" s="16"/>
      <c r="AK130" s="16"/>
      <c r="AL130" s="16"/>
      <c r="AM130" s="17"/>
      <c r="AN130" s="16"/>
      <c r="AO130" s="16"/>
      <c r="AP130" s="17"/>
      <c r="AQ130" s="16"/>
      <c r="AR130" s="17"/>
      <c r="AS130" s="17"/>
      <c r="AT130" s="16"/>
      <c r="AU130" s="107"/>
      <c r="AV130" s="16"/>
      <c r="AW130" s="107"/>
      <c r="AX130" s="16"/>
      <c r="AY130" s="16"/>
      <c r="AZ130" s="16"/>
      <c r="BA130" s="16" t="s">
        <v>4</v>
      </c>
      <c r="BB130" s="107"/>
      <c r="BC130" s="107"/>
      <c r="BD130" s="16"/>
      <c r="BE130" s="16"/>
      <c r="BF130" s="16"/>
      <c r="BG130" s="16"/>
      <c r="BH130" s="16"/>
      <c r="BI130" s="16"/>
      <c r="BJ130" s="16"/>
      <c r="BK130" s="16"/>
      <c r="BL130" s="16"/>
    </row>
    <row r="131">
      <c r="A131" s="21"/>
      <c r="B131" s="46"/>
      <c r="C131" s="42"/>
      <c r="D131" s="20"/>
      <c r="E131" s="105"/>
      <c r="F131" s="20"/>
      <c r="G131" s="20"/>
      <c r="H131" s="105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105"/>
      <c r="U131" s="20"/>
      <c r="V131" s="20"/>
      <c r="W131" s="20"/>
      <c r="X131" s="43"/>
      <c r="Y131" s="20"/>
      <c r="Z131" s="20"/>
      <c r="AA131" s="20"/>
      <c r="AB131" s="20"/>
      <c r="AC131" s="20"/>
      <c r="AD131" s="20"/>
      <c r="AE131" s="43"/>
      <c r="AF131" s="43"/>
      <c r="AG131" s="43"/>
      <c r="AH131" s="20"/>
      <c r="AI131" s="20"/>
      <c r="AJ131" s="20"/>
      <c r="AK131" s="20"/>
      <c r="AL131" s="20"/>
      <c r="AM131" s="42"/>
      <c r="AN131" s="20"/>
      <c r="AO131" s="20"/>
      <c r="AP131" s="42"/>
      <c r="AQ131" s="20"/>
      <c r="AR131" s="42"/>
      <c r="AS131" s="42"/>
      <c r="AT131" s="20"/>
      <c r="AU131" s="106"/>
      <c r="AV131" s="20"/>
      <c r="AW131" s="106"/>
      <c r="AX131" s="20"/>
      <c r="AY131" s="20"/>
      <c r="AZ131" s="20"/>
      <c r="BA131" s="20"/>
      <c r="BB131" s="106"/>
      <c r="BC131" s="106"/>
      <c r="BD131" s="20"/>
      <c r="BE131" s="20"/>
      <c r="BF131" s="20"/>
      <c r="BG131" s="20"/>
      <c r="BH131" s="20"/>
      <c r="BI131" s="20"/>
      <c r="BJ131" s="20"/>
      <c r="BK131" s="20"/>
      <c r="BL131" s="20"/>
    </row>
    <row r="132">
      <c r="A132" s="47" t="s">
        <v>98</v>
      </c>
      <c r="B132" s="16"/>
      <c r="C132" s="16"/>
      <c r="D132" s="20"/>
      <c r="E132" s="105"/>
      <c r="F132" s="20"/>
      <c r="G132" s="20"/>
      <c r="H132" s="105"/>
      <c r="I132" s="20"/>
      <c r="J132" s="20"/>
      <c r="K132" s="20"/>
      <c r="L132" s="16"/>
      <c r="M132" s="20"/>
      <c r="N132" s="20"/>
      <c r="O132" s="20"/>
      <c r="P132" s="20"/>
      <c r="Q132" s="20"/>
      <c r="R132" s="20"/>
      <c r="S132" s="20"/>
      <c r="T132" s="105"/>
      <c r="U132" s="20"/>
      <c r="V132" s="20"/>
      <c r="W132" s="20"/>
      <c r="X132" s="43"/>
      <c r="Y132" s="20"/>
      <c r="Z132" s="20"/>
      <c r="AA132" s="20"/>
      <c r="AB132" s="20"/>
      <c r="AC132" s="20"/>
      <c r="AD132" s="20"/>
      <c r="AE132" s="43"/>
      <c r="AF132" s="43"/>
      <c r="AG132" s="43"/>
      <c r="AH132" s="20"/>
      <c r="AI132" s="20"/>
      <c r="AJ132" s="20"/>
      <c r="AK132" s="20"/>
      <c r="AL132" s="20"/>
      <c r="AM132" s="42"/>
      <c r="AN132" s="20"/>
      <c r="AO132" s="20"/>
      <c r="AP132" s="42"/>
      <c r="AQ132" s="20"/>
      <c r="AR132" s="42"/>
      <c r="AS132" s="42"/>
      <c r="AT132" s="20"/>
      <c r="AU132" s="106"/>
      <c r="AV132" s="20"/>
      <c r="AW132" s="106"/>
      <c r="AX132" s="20"/>
      <c r="AY132" s="20"/>
      <c r="AZ132" s="20"/>
      <c r="BA132" s="20"/>
      <c r="BB132" s="106"/>
      <c r="BC132" s="106"/>
      <c r="BD132" s="20"/>
      <c r="BE132" s="20"/>
      <c r="BF132" s="20"/>
      <c r="BG132" s="20"/>
      <c r="BH132" s="20"/>
      <c r="BI132" s="20"/>
      <c r="BJ132" s="20"/>
      <c r="BK132" s="20"/>
      <c r="BL132" s="20"/>
    </row>
    <row r="133">
      <c r="A133" s="15"/>
      <c r="B133" s="20"/>
      <c r="C133" s="20"/>
      <c r="D133" s="20"/>
      <c r="E133" s="105"/>
      <c r="F133" s="20"/>
      <c r="G133" s="20"/>
      <c r="H133" s="105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105"/>
      <c r="U133" s="20"/>
      <c r="V133" s="20"/>
      <c r="W133" s="20"/>
      <c r="X133" s="43"/>
      <c r="Y133" s="20"/>
      <c r="Z133" s="20"/>
      <c r="AA133" s="20"/>
      <c r="AB133" s="20"/>
      <c r="AC133" s="20"/>
      <c r="AD133" s="20"/>
      <c r="AE133" s="43"/>
      <c r="AF133" s="43"/>
      <c r="AG133" s="43"/>
      <c r="AH133" s="20"/>
      <c r="AI133" s="20"/>
      <c r="AJ133" s="20"/>
      <c r="AK133" s="20"/>
      <c r="AL133" s="20"/>
      <c r="AM133" s="42"/>
      <c r="AN133" s="20"/>
      <c r="AO133" s="20"/>
      <c r="AP133" s="42"/>
      <c r="AQ133" s="20"/>
      <c r="AR133" s="42"/>
      <c r="AS133" s="42"/>
      <c r="AT133" s="20"/>
      <c r="AU133" s="106"/>
      <c r="AV133" s="20"/>
      <c r="AW133" s="106"/>
      <c r="AX133" s="20"/>
      <c r="AY133" s="20"/>
      <c r="AZ133" s="20"/>
      <c r="BA133" s="20"/>
      <c r="BB133" s="106"/>
      <c r="BC133" s="106"/>
      <c r="BD133" s="20"/>
      <c r="BE133" s="20"/>
      <c r="BF133" s="20"/>
      <c r="BG133" s="20"/>
      <c r="BH133" s="20"/>
      <c r="BI133" s="20"/>
      <c r="BJ133" s="20"/>
      <c r="BK133" s="20"/>
      <c r="BL133" s="20"/>
    </row>
    <row r="134">
      <c r="A134" s="15"/>
      <c r="B134" s="20"/>
      <c r="C134" s="20"/>
      <c r="D134" s="20"/>
      <c r="E134" s="105"/>
      <c r="F134" s="20"/>
      <c r="G134" s="20"/>
      <c r="H134" s="105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105"/>
      <c r="U134" s="20"/>
      <c r="V134" s="20"/>
      <c r="W134" s="20"/>
      <c r="X134" s="43"/>
      <c r="Y134" s="20"/>
      <c r="Z134" s="20"/>
      <c r="AA134" s="20"/>
      <c r="AB134" s="20"/>
      <c r="AC134" s="20"/>
      <c r="AD134" s="20"/>
      <c r="AE134" s="43"/>
      <c r="AF134" s="43"/>
      <c r="AG134" s="43"/>
      <c r="AH134" s="20"/>
      <c r="AI134" s="20"/>
      <c r="AJ134" s="20"/>
      <c r="AK134" s="20"/>
      <c r="AL134" s="20"/>
      <c r="AM134" s="42"/>
      <c r="AN134" s="20"/>
      <c r="AO134" s="20"/>
      <c r="AP134" s="42"/>
      <c r="AQ134" s="20"/>
      <c r="AR134" s="42"/>
      <c r="AS134" s="42"/>
      <c r="AT134" s="20"/>
      <c r="AU134" s="106"/>
      <c r="AV134" s="20"/>
      <c r="AW134" s="106"/>
      <c r="AX134" s="20"/>
      <c r="AY134" s="20"/>
      <c r="AZ134" s="20"/>
      <c r="BA134" s="20"/>
      <c r="BB134" s="106"/>
      <c r="BC134" s="106"/>
      <c r="BD134" s="20"/>
      <c r="BE134" s="20"/>
      <c r="BF134" s="20"/>
      <c r="BG134" s="20"/>
      <c r="BH134" s="20"/>
      <c r="BI134" s="20"/>
      <c r="BJ134" s="20"/>
      <c r="BK134" s="20"/>
      <c r="BL134" s="20"/>
    </row>
    <row r="135">
      <c r="A135" s="15"/>
      <c r="B135" s="20"/>
      <c r="C135" s="20"/>
      <c r="D135" s="20"/>
      <c r="E135" s="105"/>
      <c r="F135" s="20"/>
      <c r="G135" s="20"/>
      <c r="H135" s="105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105"/>
      <c r="U135" s="20"/>
      <c r="V135" s="20"/>
      <c r="W135" s="20"/>
      <c r="X135" s="43"/>
      <c r="Y135" s="20"/>
      <c r="Z135" s="20"/>
      <c r="AA135" s="20"/>
      <c r="AB135" s="20"/>
      <c r="AC135" s="20"/>
      <c r="AD135" s="20"/>
      <c r="AE135" s="43"/>
      <c r="AF135" s="43"/>
      <c r="AG135" s="43"/>
      <c r="AH135" s="20"/>
      <c r="AI135" s="20"/>
      <c r="AJ135" s="20"/>
      <c r="AK135" s="20"/>
      <c r="AL135" s="20"/>
      <c r="AM135" s="42"/>
      <c r="AN135" s="20"/>
      <c r="AO135" s="20"/>
      <c r="AP135" s="42"/>
      <c r="AQ135" s="20"/>
      <c r="AR135" s="42"/>
      <c r="AS135" s="42"/>
      <c r="AT135" s="20"/>
      <c r="AU135" s="106"/>
      <c r="AV135" s="20"/>
      <c r="AW135" s="106"/>
      <c r="AX135" s="20"/>
      <c r="AY135" s="20"/>
      <c r="AZ135" s="20"/>
      <c r="BA135" s="20"/>
      <c r="BB135" s="106"/>
      <c r="BC135" s="106"/>
      <c r="BD135" s="20"/>
      <c r="BE135" s="20"/>
      <c r="BF135" s="20"/>
      <c r="BG135" s="20"/>
      <c r="BH135" s="20"/>
      <c r="BI135" s="20"/>
      <c r="BJ135" s="20"/>
      <c r="BK135" s="20"/>
      <c r="BL135" s="20"/>
    </row>
    <row r="136">
      <c r="A136" s="15"/>
      <c r="B136" s="20"/>
      <c r="C136" s="20"/>
      <c r="D136" s="20"/>
      <c r="E136" s="105"/>
      <c r="F136" s="20"/>
      <c r="G136" s="20"/>
      <c r="H136" s="105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105"/>
      <c r="U136" s="20"/>
      <c r="V136" s="20"/>
      <c r="W136" s="20"/>
      <c r="X136" s="43"/>
      <c r="Y136" s="20"/>
      <c r="Z136" s="20"/>
      <c r="AA136" s="20"/>
      <c r="AB136" s="20"/>
      <c r="AC136" s="20"/>
      <c r="AD136" s="20"/>
      <c r="AE136" s="43"/>
      <c r="AF136" s="43"/>
      <c r="AG136" s="43"/>
      <c r="AH136" s="20"/>
      <c r="AI136" s="20"/>
      <c r="AJ136" s="20"/>
      <c r="AK136" s="20"/>
      <c r="AL136" s="20"/>
      <c r="AM136" s="42"/>
      <c r="AN136" s="20"/>
      <c r="AO136" s="20"/>
      <c r="AP136" s="42"/>
      <c r="AQ136" s="20"/>
      <c r="AR136" s="42"/>
      <c r="AS136" s="42"/>
      <c r="AT136" s="20"/>
      <c r="AU136" s="106"/>
      <c r="AV136" s="20"/>
      <c r="AW136" s="106"/>
      <c r="AX136" s="20"/>
      <c r="AY136" s="20"/>
      <c r="AZ136" s="20"/>
      <c r="BA136" s="20"/>
      <c r="BB136" s="106"/>
      <c r="BC136" s="106"/>
      <c r="BD136" s="20"/>
      <c r="BE136" s="20"/>
      <c r="BF136" s="20"/>
      <c r="BG136" s="20"/>
      <c r="BH136" s="20"/>
      <c r="BI136" s="20"/>
      <c r="BJ136" s="20"/>
      <c r="BK136" s="20"/>
      <c r="BL136" s="20"/>
    </row>
    <row r="137">
      <c r="A137" s="15"/>
      <c r="B137" s="20"/>
      <c r="C137" s="20"/>
      <c r="D137" s="20"/>
      <c r="E137" s="105"/>
      <c r="F137" s="20"/>
      <c r="G137" s="20"/>
      <c r="H137" s="105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105"/>
      <c r="U137" s="20"/>
      <c r="V137" s="20"/>
      <c r="W137" s="20"/>
      <c r="X137" s="43"/>
      <c r="Y137" s="20"/>
      <c r="Z137" s="20"/>
      <c r="AA137" s="20"/>
      <c r="AB137" s="20"/>
      <c r="AC137" s="20"/>
      <c r="AD137" s="20"/>
      <c r="AE137" s="43"/>
      <c r="AF137" s="43"/>
      <c r="AG137" s="43"/>
      <c r="AH137" s="20"/>
      <c r="AI137" s="20"/>
      <c r="AJ137" s="20"/>
      <c r="AK137" s="20"/>
      <c r="AL137" s="20"/>
      <c r="AM137" s="42"/>
      <c r="AN137" s="20"/>
      <c r="AO137" s="20"/>
      <c r="AP137" s="42"/>
      <c r="AQ137" s="20"/>
      <c r="AR137" s="42"/>
      <c r="AS137" s="42"/>
      <c r="AT137" s="20"/>
      <c r="AU137" s="106"/>
      <c r="AV137" s="20"/>
      <c r="AW137" s="106"/>
      <c r="AX137" s="20"/>
      <c r="AY137" s="20"/>
      <c r="AZ137" s="20"/>
      <c r="BA137" s="20"/>
      <c r="BB137" s="106"/>
      <c r="BC137" s="106"/>
      <c r="BD137" s="20"/>
      <c r="BE137" s="20"/>
      <c r="BF137" s="20"/>
      <c r="BG137" s="20"/>
      <c r="BH137" s="20"/>
      <c r="BI137" s="20"/>
      <c r="BJ137" s="20"/>
      <c r="BK137" s="20"/>
      <c r="BL137" s="20"/>
    </row>
    <row r="138">
      <c r="A138" s="15"/>
      <c r="B138" s="20"/>
      <c r="C138" s="20"/>
      <c r="D138" s="20"/>
      <c r="E138" s="105"/>
      <c r="F138" s="20"/>
      <c r="G138" s="20"/>
      <c r="H138" s="105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105"/>
      <c r="U138" s="20"/>
      <c r="V138" s="20"/>
      <c r="W138" s="20"/>
      <c r="X138" s="43"/>
      <c r="Y138" s="20"/>
      <c r="Z138" s="20"/>
      <c r="AA138" s="20"/>
      <c r="AB138" s="20"/>
      <c r="AC138" s="20"/>
      <c r="AD138" s="20"/>
      <c r="AE138" s="43"/>
      <c r="AF138" s="43"/>
      <c r="AG138" s="43"/>
      <c r="AH138" s="20"/>
      <c r="AI138" s="20"/>
      <c r="AJ138" s="20"/>
      <c r="AK138" s="20"/>
      <c r="AL138" s="20"/>
      <c r="AM138" s="42"/>
      <c r="AN138" s="20"/>
      <c r="AO138" s="20"/>
      <c r="AP138" s="42"/>
      <c r="AQ138" s="20"/>
      <c r="AR138" s="42"/>
      <c r="AS138" s="42"/>
      <c r="AT138" s="20"/>
      <c r="AU138" s="106"/>
      <c r="AV138" s="20"/>
      <c r="AW138" s="106"/>
      <c r="AX138" s="20"/>
      <c r="AY138" s="20"/>
      <c r="AZ138" s="20"/>
      <c r="BA138" s="20"/>
      <c r="BB138" s="106"/>
      <c r="BC138" s="106"/>
      <c r="BD138" s="20"/>
      <c r="BE138" s="20"/>
      <c r="BF138" s="20"/>
      <c r="BG138" s="20"/>
      <c r="BH138" s="20"/>
      <c r="BI138" s="20"/>
      <c r="BJ138" s="20"/>
      <c r="BK138" s="20"/>
      <c r="BL138" s="20"/>
    </row>
    <row r="139">
      <c r="A139" s="15"/>
      <c r="B139" s="20"/>
      <c r="C139" s="20"/>
      <c r="D139" s="20"/>
      <c r="E139" s="105"/>
      <c r="F139" s="20"/>
      <c r="G139" s="20"/>
      <c r="H139" s="105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105"/>
      <c r="U139" s="20"/>
      <c r="V139" s="20"/>
      <c r="W139" s="20"/>
      <c r="X139" s="43"/>
      <c r="Y139" s="20"/>
      <c r="Z139" s="20"/>
      <c r="AA139" s="20"/>
      <c r="AB139" s="20"/>
      <c r="AC139" s="20"/>
      <c r="AD139" s="20"/>
      <c r="AE139" s="43"/>
      <c r="AF139" s="43"/>
      <c r="AG139" s="43"/>
      <c r="AH139" s="20"/>
      <c r="AI139" s="20"/>
      <c r="AJ139" s="20"/>
      <c r="AK139" s="20"/>
      <c r="AL139" s="20"/>
      <c r="AM139" s="42"/>
      <c r="AN139" s="20"/>
      <c r="AO139" s="20"/>
      <c r="AP139" s="42"/>
      <c r="AQ139" s="20"/>
      <c r="AR139" s="42"/>
      <c r="AS139" s="42"/>
      <c r="AT139" s="20"/>
      <c r="AU139" s="106"/>
      <c r="AV139" s="20"/>
      <c r="AW139" s="106"/>
      <c r="AX139" s="20"/>
      <c r="AY139" s="20"/>
      <c r="AZ139" s="20"/>
      <c r="BA139" s="20"/>
      <c r="BB139" s="106"/>
      <c r="BC139" s="106"/>
      <c r="BD139" s="20"/>
      <c r="BE139" s="20"/>
      <c r="BF139" s="20"/>
      <c r="BG139" s="20"/>
      <c r="BH139" s="20"/>
      <c r="BI139" s="20"/>
      <c r="BJ139" s="20"/>
      <c r="BK139" s="20"/>
      <c r="BL139" s="20"/>
    </row>
    <row r="140">
      <c r="A140" s="15"/>
      <c r="B140" s="20"/>
      <c r="C140" s="20"/>
      <c r="D140" s="20"/>
      <c r="E140" s="105"/>
      <c r="F140" s="20"/>
      <c r="G140" s="20"/>
      <c r="H140" s="105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105"/>
      <c r="U140" s="20"/>
      <c r="V140" s="20"/>
      <c r="W140" s="20"/>
      <c r="X140" s="43"/>
      <c r="Y140" s="20"/>
      <c r="Z140" s="20"/>
      <c r="AA140" s="20"/>
      <c r="AB140" s="20"/>
      <c r="AC140" s="20"/>
      <c r="AD140" s="20"/>
      <c r="AE140" s="43"/>
      <c r="AF140" s="43"/>
      <c r="AG140" s="43"/>
      <c r="AH140" s="20"/>
      <c r="AI140" s="20"/>
      <c r="AJ140" s="20"/>
      <c r="AK140" s="20"/>
      <c r="AL140" s="20"/>
      <c r="AM140" s="42"/>
      <c r="AN140" s="20"/>
      <c r="AO140" s="20"/>
      <c r="AP140" s="42"/>
      <c r="AQ140" s="20"/>
      <c r="AR140" s="42"/>
      <c r="AS140" s="42"/>
      <c r="AT140" s="20"/>
      <c r="AU140" s="106"/>
      <c r="AV140" s="20"/>
      <c r="AW140" s="106"/>
      <c r="AX140" s="20"/>
      <c r="AY140" s="20"/>
      <c r="AZ140" s="20"/>
      <c r="BA140" s="20"/>
      <c r="BB140" s="106"/>
      <c r="BC140" s="106"/>
      <c r="BD140" s="20"/>
      <c r="BE140" s="20"/>
      <c r="BF140" s="20"/>
      <c r="BG140" s="20"/>
      <c r="BH140" s="20"/>
      <c r="BI140" s="20"/>
      <c r="BJ140" s="20"/>
      <c r="BK140" s="20"/>
      <c r="BL140" s="20"/>
    </row>
    <row r="141">
      <c r="A141" s="21"/>
      <c r="B141" s="50"/>
      <c r="C141" s="20"/>
      <c r="D141" s="20"/>
      <c r="E141" s="105"/>
      <c r="F141" s="20"/>
      <c r="G141" s="20"/>
      <c r="H141" s="105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105"/>
      <c r="U141" s="20"/>
      <c r="V141" s="20"/>
      <c r="W141" s="20"/>
      <c r="X141" s="43"/>
      <c r="Y141" s="20"/>
      <c r="Z141" s="20"/>
      <c r="AA141" s="20"/>
      <c r="AB141" s="20"/>
      <c r="AC141" s="20"/>
      <c r="AD141" s="20"/>
      <c r="AE141" s="43"/>
      <c r="AF141" s="43"/>
      <c r="AG141" s="43"/>
      <c r="AH141" s="20"/>
      <c r="AI141" s="20"/>
      <c r="AJ141" s="20"/>
      <c r="AK141" s="20"/>
      <c r="AL141" s="20"/>
      <c r="AM141" s="42"/>
      <c r="AN141" s="20"/>
      <c r="AO141" s="20"/>
      <c r="AP141" s="42"/>
      <c r="AQ141" s="20"/>
      <c r="AR141" s="42"/>
      <c r="AS141" s="42"/>
      <c r="AT141" s="20"/>
      <c r="AU141" s="106"/>
      <c r="AV141" s="20"/>
      <c r="AW141" s="106"/>
      <c r="AX141" s="20"/>
      <c r="AY141" s="20"/>
      <c r="AZ141" s="20"/>
      <c r="BA141" s="20"/>
      <c r="BB141" s="106"/>
      <c r="BC141" s="106"/>
      <c r="BD141" s="20"/>
      <c r="BE141" s="20"/>
      <c r="BF141" s="20"/>
      <c r="BG141" s="20"/>
      <c r="BH141" s="20"/>
      <c r="BI141" s="20"/>
      <c r="BJ141" s="20"/>
      <c r="BK141" s="20"/>
      <c r="BL141" s="20"/>
    </row>
    <row r="142">
      <c r="A142" s="56"/>
      <c r="B142" s="57" t="s">
        <v>2</v>
      </c>
      <c r="C142" s="58"/>
      <c r="D142" s="120">
        <f t="shared" ref="D142:BG142" si="1">countifs($C$2:$C$136,"OM",D$2:D$136,"x")</f>
        <v>27</v>
      </c>
      <c r="E142" s="121">
        <f t="shared" si="1"/>
        <v>0</v>
      </c>
      <c r="F142" s="121">
        <f t="shared" si="1"/>
        <v>18</v>
      </c>
      <c r="G142" s="121">
        <f t="shared" si="1"/>
        <v>21</v>
      </c>
      <c r="H142" s="121">
        <f t="shared" si="1"/>
        <v>0</v>
      </c>
      <c r="I142" s="121">
        <f t="shared" si="1"/>
        <v>16</v>
      </c>
      <c r="J142" s="121">
        <f t="shared" si="1"/>
        <v>17</v>
      </c>
      <c r="K142" s="121">
        <f t="shared" si="1"/>
        <v>23</v>
      </c>
      <c r="L142" s="121">
        <f t="shared" si="1"/>
        <v>18</v>
      </c>
      <c r="M142" s="121">
        <f t="shared" si="1"/>
        <v>14</v>
      </c>
      <c r="N142" s="121">
        <f t="shared" si="1"/>
        <v>20</v>
      </c>
      <c r="O142" s="121">
        <f t="shared" si="1"/>
        <v>15</v>
      </c>
      <c r="P142" s="121">
        <f t="shared" si="1"/>
        <v>22</v>
      </c>
      <c r="Q142" s="121">
        <f t="shared" si="1"/>
        <v>18</v>
      </c>
      <c r="R142" s="121">
        <f t="shared" si="1"/>
        <v>18</v>
      </c>
      <c r="S142" s="121">
        <f t="shared" si="1"/>
        <v>16</v>
      </c>
      <c r="T142" s="122">
        <f t="shared" si="1"/>
        <v>0</v>
      </c>
      <c r="U142" s="121">
        <f t="shared" si="1"/>
        <v>24</v>
      </c>
      <c r="V142" s="121">
        <f t="shared" si="1"/>
        <v>20</v>
      </c>
      <c r="W142" s="121">
        <f t="shared" si="1"/>
        <v>17</v>
      </c>
      <c r="X142" s="123">
        <f t="shared" si="1"/>
        <v>0</v>
      </c>
      <c r="Y142" s="121">
        <f t="shared" si="1"/>
        <v>12</v>
      </c>
      <c r="Z142" s="121">
        <f t="shared" si="1"/>
        <v>17</v>
      </c>
      <c r="AA142" s="121">
        <f t="shared" si="1"/>
        <v>19</v>
      </c>
      <c r="AB142" s="121">
        <f t="shared" si="1"/>
        <v>18</v>
      </c>
      <c r="AC142" s="121">
        <f t="shared" si="1"/>
        <v>12</v>
      </c>
      <c r="AD142" s="121">
        <f t="shared" si="1"/>
        <v>18</v>
      </c>
      <c r="AE142" s="123">
        <f t="shared" si="1"/>
        <v>0</v>
      </c>
      <c r="AF142" s="123">
        <f t="shared" si="1"/>
        <v>0</v>
      </c>
      <c r="AG142" s="123">
        <f t="shared" si="1"/>
        <v>0</v>
      </c>
      <c r="AH142" s="121">
        <f t="shared" si="1"/>
        <v>16</v>
      </c>
      <c r="AI142" s="121">
        <f t="shared" si="1"/>
        <v>16</v>
      </c>
      <c r="AJ142" s="121">
        <f t="shared" si="1"/>
        <v>18</v>
      </c>
      <c r="AK142" s="121">
        <f t="shared" si="1"/>
        <v>18</v>
      </c>
      <c r="AL142" s="121">
        <f t="shared" si="1"/>
        <v>12</v>
      </c>
      <c r="AM142" s="121">
        <f t="shared" si="1"/>
        <v>18</v>
      </c>
      <c r="AN142" s="121">
        <f t="shared" si="1"/>
        <v>14</v>
      </c>
      <c r="AO142" s="121">
        <f t="shared" si="1"/>
        <v>19</v>
      </c>
      <c r="AP142" s="121">
        <f t="shared" si="1"/>
        <v>18</v>
      </c>
      <c r="AQ142" s="121">
        <f t="shared" si="1"/>
        <v>13</v>
      </c>
      <c r="AR142" s="121">
        <f t="shared" si="1"/>
        <v>15</v>
      </c>
      <c r="AS142" s="121">
        <f t="shared" si="1"/>
        <v>16</v>
      </c>
      <c r="AT142" s="121">
        <f t="shared" si="1"/>
        <v>19</v>
      </c>
      <c r="AU142" s="124">
        <f t="shared" si="1"/>
        <v>0</v>
      </c>
      <c r="AV142" s="121">
        <f t="shared" si="1"/>
        <v>0</v>
      </c>
      <c r="AW142" s="121">
        <f t="shared" si="1"/>
        <v>0</v>
      </c>
      <c r="AX142" s="121">
        <f t="shared" si="1"/>
        <v>0</v>
      </c>
      <c r="AY142" s="121">
        <f t="shared" si="1"/>
        <v>0</v>
      </c>
      <c r="AZ142" s="121">
        <f t="shared" si="1"/>
        <v>15</v>
      </c>
      <c r="BA142" s="121">
        <f t="shared" si="1"/>
        <v>18</v>
      </c>
      <c r="BB142" s="124">
        <f t="shared" si="1"/>
        <v>0</v>
      </c>
      <c r="BC142" s="124">
        <f t="shared" si="1"/>
        <v>0</v>
      </c>
      <c r="BD142" s="121">
        <f t="shared" si="1"/>
        <v>0</v>
      </c>
      <c r="BE142" s="121">
        <f t="shared" si="1"/>
        <v>0</v>
      </c>
      <c r="BF142" s="121">
        <f t="shared" si="1"/>
        <v>0</v>
      </c>
      <c r="BG142" s="121">
        <f t="shared" si="1"/>
        <v>0</v>
      </c>
      <c r="BH142" s="125"/>
      <c r="BI142" s="125"/>
      <c r="BJ142" s="125"/>
      <c r="BK142" s="125"/>
      <c r="BL142" s="125"/>
    </row>
    <row r="143">
      <c r="A143" s="64"/>
      <c r="B143" s="65" t="s">
        <v>53</v>
      </c>
      <c r="D143" s="126">
        <f t="shared" ref="D143:BG143" si="2">countifs($C$2:$C$136,"RN",D$2:D$136,"x")</f>
        <v>2</v>
      </c>
      <c r="E143" s="126">
        <f t="shared" si="2"/>
        <v>0</v>
      </c>
      <c r="F143" s="126">
        <f t="shared" si="2"/>
        <v>2</v>
      </c>
      <c r="G143" s="126">
        <f t="shared" si="2"/>
        <v>1</v>
      </c>
      <c r="H143" s="126">
        <f t="shared" si="2"/>
        <v>0</v>
      </c>
      <c r="I143" s="126">
        <f t="shared" si="2"/>
        <v>0</v>
      </c>
      <c r="J143" s="126">
        <f t="shared" si="2"/>
        <v>3</v>
      </c>
      <c r="K143" s="126">
        <f t="shared" si="2"/>
        <v>0</v>
      </c>
      <c r="L143" s="126">
        <f t="shared" si="2"/>
        <v>1</v>
      </c>
      <c r="M143" s="126">
        <f t="shared" si="2"/>
        <v>0</v>
      </c>
      <c r="N143" s="126">
        <f t="shared" si="2"/>
        <v>0</v>
      </c>
      <c r="O143" s="126">
        <f t="shared" si="2"/>
        <v>1</v>
      </c>
      <c r="P143" s="126">
        <f t="shared" si="2"/>
        <v>0</v>
      </c>
      <c r="Q143" s="126">
        <f t="shared" si="2"/>
        <v>0</v>
      </c>
      <c r="R143" s="126">
        <f t="shared" si="2"/>
        <v>1</v>
      </c>
      <c r="S143" s="126">
        <f t="shared" si="2"/>
        <v>1</v>
      </c>
      <c r="T143" s="127">
        <f t="shared" si="2"/>
        <v>0</v>
      </c>
      <c r="U143" s="126">
        <f t="shared" si="2"/>
        <v>2</v>
      </c>
      <c r="V143" s="126">
        <f t="shared" si="2"/>
        <v>1</v>
      </c>
      <c r="W143" s="126">
        <f t="shared" si="2"/>
        <v>1</v>
      </c>
      <c r="X143" s="128">
        <f t="shared" si="2"/>
        <v>0</v>
      </c>
      <c r="Y143" s="126">
        <f t="shared" si="2"/>
        <v>1</v>
      </c>
      <c r="Z143" s="126">
        <f t="shared" si="2"/>
        <v>1</v>
      </c>
      <c r="AA143" s="126">
        <f t="shared" si="2"/>
        <v>1</v>
      </c>
      <c r="AB143" s="126">
        <f t="shared" si="2"/>
        <v>2</v>
      </c>
      <c r="AC143" s="126">
        <f t="shared" si="2"/>
        <v>1</v>
      </c>
      <c r="AD143" s="126">
        <f t="shared" si="2"/>
        <v>2</v>
      </c>
      <c r="AE143" s="128">
        <f t="shared" si="2"/>
        <v>0</v>
      </c>
      <c r="AF143" s="128">
        <f t="shared" si="2"/>
        <v>0</v>
      </c>
      <c r="AG143" s="128">
        <f t="shared" si="2"/>
        <v>0</v>
      </c>
      <c r="AH143" s="126">
        <f t="shared" si="2"/>
        <v>1</v>
      </c>
      <c r="AI143" s="126">
        <f t="shared" si="2"/>
        <v>1</v>
      </c>
      <c r="AJ143" s="126">
        <f t="shared" si="2"/>
        <v>2</v>
      </c>
      <c r="AK143" s="126">
        <f t="shared" si="2"/>
        <v>2</v>
      </c>
      <c r="AL143" s="126">
        <f t="shared" si="2"/>
        <v>1</v>
      </c>
      <c r="AM143" s="126">
        <f t="shared" si="2"/>
        <v>1</v>
      </c>
      <c r="AN143" s="126">
        <f t="shared" si="2"/>
        <v>1</v>
      </c>
      <c r="AO143" s="126">
        <f t="shared" si="2"/>
        <v>1</v>
      </c>
      <c r="AP143" s="126">
        <f t="shared" si="2"/>
        <v>1</v>
      </c>
      <c r="AQ143" s="126">
        <f t="shared" si="2"/>
        <v>1</v>
      </c>
      <c r="AR143" s="126">
        <f t="shared" si="2"/>
        <v>1</v>
      </c>
      <c r="AS143" s="126">
        <f t="shared" si="2"/>
        <v>1</v>
      </c>
      <c r="AT143" s="126">
        <f t="shared" si="2"/>
        <v>2</v>
      </c>
      <c r="AU143" s="129">
        <f t="shared" si="2"/>
        <v>0</v>
      </c>
      <c r="AV143" s="126">
        <f t="shared" si="2"/>
        <v>0</v>
      </c>
      <c r="AW143" s="126">
        <f t="shared" si="2"/>
        <v>0</v>
      </c>
      <c r="AX143" s="126">
        <f t="shared" si="2"/>
        <v>0</v>
      </c>
      <c r="AY143" s="126">
        <f t="shared" si="2"/>
        <v>0</v>
      </c>
      <c r="AZ143" s="126">
        <f t="shared" si="2"/>
        <v>2</v>
      </c>
      <c r="BA143" s="126">
        <f t="shared" si="2"/>
        <v>0</v>
      </c>
      <c r="BB143" s="129">
        <f t="shared" si="2"/>
        <v>0</v>
      </c>
      <c r="BC143" s="129">
        <f t="shared" si="2"/>
        <v>0</v>
      </c>
      <c r="BD143" s="126">
        <f t="shared" si="2"/>
        <v>0</v>
      </c>
      <c r="BE143" s="126">
        <f t="shared" si="2"/>
        <v>0</v>
      </c>
      <c r="BF143" s="126">
        <f t="shared" si="2"/>
        <v>0</v>
      </c>
      <c r="BG143" s="126">
        <f t="shared" si="2"/>
        <v>0</v>
      </c>
      <c r="BH143" s="130"/>
      <c r="BI143" s="130"/>
      <c r="BJ143" s="130"/>
      <c r="BK143" s="130"/>
      <c r="BL143" s="130"/>
    </row>
    <row r="144">
      <c r="A144" s="70"/>
      <c r="B144" s="71" t="s">
        <v>30</v>
      </c>
      <c r="D144" s="126">
        <f t="shared" ref="D144:BG144" si="3">countifs($C$2:$C$136,"XT",D$2:D$136,"x")</f>
        <v>7</v>
      </c>
      <c r="E144" s="126">
        <f t="shared" si="3"/>
        <v>0</v>
      </c>
      <c r="F144" s="126">
        <f t="shared" si="3"/>
        <v>5</v>
      </c>
      <c r="G144" s="126">
        <f t="shared" si="3"/>
        <v>3</v>
      </c>
      <c r="H144" s="126">
        <f t="shared" si="3"/>
        <v>0</v>
      </c>
      <c r="I144" s="126">
        <f t="shared" si="3"/>
        <v>3</v>
      </c>
      <c r="J144" s="126">
        <f t="shared" si="3"/>
        <v>5</v>
      </c>
      <c r="K144" s="126">
        <f t="shared" si="3"/>
        <v>7</v>
      </c>
      <c r="L144" s="126">
        <f t="shared" si="3"/>
        <v>10</v>
      </c>
      <c r="M144" s="126">
        <f t="shared" si="3"/>
        <v>9</v>
      </c>
      <c r="N144" s="126">
        <f t="shared" si="3"/>
        <v>6</v>
      </c>
      <c r="O144" s="126">
        <f t="shared" si="3"/>
        <v>6</v>
      </c>
      <c r="P144" s="126">
        <f t="shared" si="3"/>
        <v>4</v>
      </c>
      <c r="Q144" s="126">
        <f t="shared" si="3"/>
        <v>7</v>
      </c>
      <c r="R144" s="126">
        <f t="shared" si="3"/>
        <v>9</v>
      </c>
      <c r="S144" s="126">
        <f t="shared" si="3"/>
        <v>5</v>
      </c>
      <c r="T144" s="127">
        <f t="shared" si="3"/>
        <v>0</v>
      </c>
      <c r="U144" s="126">
        <f t="shared" si="3"/>
        <v>7</v>
      </c>
      <c r="V144" s="126">
        <f t="shared" si="3"/>
        <v>5</v>
      </c>
      <c r="W144" s="126">
        <f t="shared" si="3"/>
        <v>8</v>
      </c>
      <c r="X144" s="128">
        <f t="shared" si="3"/>
        <v>0</v>
      </c>
      <c r="Y144" s="126">
        <f t="shared" si="3"/>
        <v>2</v>
      </c>
      <c r="Z144" s="126">
        <f t="shared" si="3"/>
        <v>3</v>
      </c>
      <c r="AA144" s="126">
        <f t="shared" si="3"/>
        <v>6</v>
      </c>
      <c r="AB144" s="126">
        <f t="shared" si="3"/>
        <v>4</v>
      </c>
      <c r="AC144" s="126">
        <f t="shared" si="3"/>
        <v>5</v>
      </c>
      <c r="AD144" s="126">
        <f t="shared" si="3"/>
        <v>8</v>
      </c>
      <c r="AE144" s="128">
        <f t="shared" si="3"/>
        <v>0</v>
      </c>
      <c r="AF144" s="128">
        <f t="shared" si="3"/>
        <v>0</v>
      </c>
      <c r="AG144" s="128">
        <f t="shared" si="3"/>
        <v>0</v>
      </c>
      <c r="AH144" s="126">
        <f t="shared" si="3"/>
        <v>6</v>
      </c>
      <c r="AI144" s="126">
        <f t="shared" si="3"/>
        <v>5</v>
      </c>
      <c r="AJ144" s="126">
        <f t="shared" si="3"/>
        <v>7</v>
      </c>
      <c r="AK144" s="126">
        <f t="shared" si="3"/>
        <v>7</v>
      </c>
      <c r="AL144" s="126">
        <f t="shared" si="3"/>
        <v>9</v>
      </c>
      <c r="AM144" s="126">
        <f t="shared" si="3"/>
        <v>5</v>
      </c>
      <c r="AN144" s="126">
        <f t="shared" si="3"/>
        <v>7</v>
      </c>
      <c r="AO144" s="126">
        <f t="shared" si="3"/>
        <v>8</v>
      </c>
      <c r="AP144" s="126">
        <f t="shared" si="3"/>
        <v>6</v>
      </c>
      <c r="AQ144" s="126">
        <f t="shared" si="3"/>
        <v>4</v>
      </c>
      <c r="AR144" s="126">
        <f t="shared" si="3"/>
        <v>7</v>
      </c>
      <c r="AS144" s="126">
        <f t="shared" si="3"/>
        <v>7</v>
      </c>
      <c r="AT144" s="126">
        <f t="shared" si="3"/>
        <v>8</v>
      </c>
      <c r="AU144" s="129">
        <f t="shared" si="3"/>
        <v>0</v>
      </c>
      <c r="AV144" s="126">
        <f t="shared" si="3"/>
        <v>0</v>
      </c>
      <c r="AW144" s="126">
        <f t="shared" si="3"/>
        <v>0</v>
      </c>
      <c r="AX144" s="126">
        <f t="shared" si="3"/>
        <v>0</v>
      </c>
      <c r="AY144" s="126">
        <f t="shared" si="3"/>
        <v>0</v>
      </c>
      <c r="AZ144" s="126">
        <f t="shared" si="3"/>
        <v>5</v>
      </c>
      <c r="BA144" s="126">
        <f t="shared" si="3"/>
        <v>7</v>
      </c>
      <c r="BB144" s="129">
        <f t="shared" si="3"/>
        <v>0</v>
      </c>
      <c r="BC144" s="129">
        <f t="shared" si="3"/>
        <v>0</v>
      </c>
      <c r="BD144" s="126">
        <f t="shared" si="3"/>
        <v>0</v>
      </c>
      <c r="BE144" s="126">
        <f t="shared" si="3"/>
        <v>0</v>
      </c>
      <c r="BF144" s="126">
        <f t="shared" si="3"/>
        <v>0</v>
      </c>
      <c r="BG144" s="126">
        <f t="shared" si="3"/>
        <v>0</v>
      </c>
      <c r="BH144" s="130"/>
      <c r="BI144" s="130"/>
      <c r="BJ144" s="130"/>
      <c r="BK144" s="130"/>
      <c r="BL144" s="130"/>
    </row>
    <row r="145">
      <c r="A145" s="72"/>
      <c r="B145" s="73" t="s">
        <v>58</v>
      </c>
      <c r="D145" s="126">
        <f t="shared" ref="D145:BG145" si="4">countifs($C$2:$C$136,"FT",D$2:D$136,"x")</f>
        <v>1</v>
      </c>
      <c r="E145" s="126">
        <f t="shared" si="4"/>
        <v>0</v>
      </c>
      <c r="F145" s="126">
        <f t="shared" si="4"/>
        <v>0</v>
      </c>
      <c r="G145" s="126">
        <f t="shared" si="4"/>
        <v>0</v>
      </c>
      <c r="H145" s="126">
        <f t="shared" si="4"/>
        <v>0</v>
      </c>
      <c r="I145" s="126">
        <f t="shared" si="4"/>
        <v>0</v>
      </c>
      <c r="J145" s="126">
        <f t="shared" si="4"/>
        <v>0</v>
      </c>
      <c r="K145" s="126">
        <f t="shared" si="4"/>
        <v>0</v>
      </c>
      <c r="L145" s="126">
        <f t="shared" si="4"/>
        <v>1</v>
      </c>
      <c r="M145" s="126">
        <f t="shared" si="4"/>
        <v>1</v>
      </c>
      <c r="N145" s="126">
        <f t="shared" si="4"/>
        <v>0</v>
      </c>
      <c r="O145" s="126">
        <f t="shared" si="4"/>
        <v>1</v>
      </c>
      <c r="P145" s="126">
        <f t="shared" si="4"/>
        <v>0</v>
      </c>
      <c r="Q145" s="126">
        <f t="shared" si="4"/>
        <v>1</v>
      </c>
      <c r="R145" s="126">
        <f t="shared" si="4"/>
        <v>0</v>
      </c>
      <c r="S145" s="126">
        <f t="shared" si="4"/>
        <v>1</v>
      </c>
      <c r="T145" s="127">
        <f t="shared" si="4"/>
        <v>0</v>
      </c>
      <c r="U145" s="126">
        <f t="shared" si="4"/>
        <v>3</v>
      </c>
      <c r="V145" s="126">
        <f t="shared" si="4"/>
        <v>1</v>
      </c>
      <c r="W145" s="126">
        <f t="shared" si="4"/>
        <v>0</v>
      </c>
      <c r="X145" s="128">
        <f t="shared" si="4"/>
        <v>0</v>
      </c>
      <c r="Y145" s="126">
        <f t="shared" si="4"/>
        <v>0</v>
      </c>
      <c r="Z145" s="126">
        <f t="shared" si="4"/>
        <v>1</v>
      </c>
      <c r="AA145" s="126">
        <f t="shared" si="4"/>
        <v>0</v>
      </c>
      <c r="AB145" s="126">
        <f t="shared" si="4"/>
        <v>0</v>
      </c>
      <c r="AC145" s="126">
        <f t="shared" si="4"/>
        <v>1</v>
      </c>
      <c r="AD145" s="126">
        <f t="shared" si="4"/>
        <v>2</v>
      </c>
      <c r="AE145" s="128">
        <f t="shared" si="4"/>
        <v>0</v>
      </c>
      <c r="AF145" s="128">
        <f t="shared" si="4"/>
        <v>0</v>
      </c>
      <c r="AG145" s="128">
        <f t="shared" si="4"/>
        <v>0</v>
      </c>
      <c r="AH145" s="126">
        <f t="shared" si="4"/>
        <v>1</v>
      </c>
      <c r="AI145" s="126">
        <f t="shared" si="4"/>
        <v>0</v>
      </c>
      <c r="AJ145" s="126">
        <f t="shared" si="4"/>
        <v>1</v>
      </c>
      <c r="AK145" s="126">
        <f t="shared" si="4"/>
        <v>1</v>
      </c>
      <c r="AL145" s="126">
        <f t="shared" si="4"/>
        <v>1</v>
      </c>
      <c r="AM145" s="126">
        <f t="shared" si="4"/>
        <v>0</v>
      </c>
      <c r="AN145" s="126">
        <f t="shared" si="4"/>
        <v>1</v>
      </c>
      <c r="AO145" s="126">
        <f t="shared" si="4"/>
        <v>1</v>
      </c>
      <c r="AP145" s="126">
        <f t="shared" si="4"/>
        <v>1</v>
      </c>
      <c r="AQ145" s="126">
        <f t="shared" si="4"/>
        <v>0</v>
      </c>
      <c r="AR145" s="126">
        <f t="shared" si="4"/>
        <v>1</v>
      </c>
      <c r="AS145" s="126">
        <f t="shared" si="4"/>
        <v>2</v>
      </c>
      <c r="AT145" s="126">
        <f t="shared" si="4"/>
        <v>1</v>
      </c>
      <c r="AU145" s="129">
        <f t="shared" si="4"/>
        <v>0</v>
      </c>
      <c r="AV145" s="126">
        <f t="shared" si="4"/>
        <v>0</v>
      </c>
      <c r="AW145" s="126">
        <f t="shared" si="4"/>
        <v>0</v>
      </c>
      <c r="AX145" s="126">
        <f t="shared" si="4"/>
        <v>0</v>
      </c>
      <c r="AY145" s="126">
        <f t="shared" si="4"/>
        <v>0</v>
      </c>
      <c r="AZ145" s="126">
        <f t="shared" si="4"/>
        <v>2</v>
      </c>
      <c r="BA145" s="126">
        <f t="shared" si="4"/>
        <v>0</v>
      </c>
      <c r="BB145" s="129">
        <f t="shared" si="4"/>
        <v>0</v>
      </c>
      <c r="BC145" s="129">
        <f t="shared" si="4"/>
        <v>0</v>
      </c>
      <c r="BD145" s="126">
        <f t="shared" si="4"/>
        <v>0</v>
      </c>
      <c r="BE145" s="126">
        <f t="shared" si="4"/>
        <v>0</v>
      </c>
      <c r="BF145" s="126">
        <f t="shared" si="4"/>
        <v>0</v>
      </c>
      <c r="BG145" s="126">
        <f t="shared" si="4"/>
        <v>0</v>
      </c>
      <c r="BH145" s="130"/>
      <c r="BI145" s="130"/>
      <c r="BJ145" s="130"/>
      <c r="BK145" s="130"/>
      <c r="BL145" s="130"/>
    </row>
    <row r="146">
      <c r="A146" s="74"/>
      <c r="B146" s="75" t="s">
        <v>98</v>
      </c>
      <c r="D146" s="131"/>
      <c r="E146" s="131"/>
      <c r="F146" s="131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2"/>
      <c r="U146" s="131"/>
      <c r="V146" s="131"/>
      <c r="W146" s="131"/>
      <c r="X146" s="133"/>
      <c r="Y146" s="131"/>
      <c r="Z146" s="131"/>
      <c r="AA146" s="131"/>
      <c r="AB146" s="131"/>
      <c r="AC146" s="131"/>
      <c r="AD146" s="131"/>
      <c r="AE146" s="133"/>
      <c r="AF146" s="133"/>
      <c r="AG146" s="133"/>
      <c r="AH146" s="131"/>
      <c r="AI146" s="131"/>
      <c r="AJ146" s="131"/>
      <c r="AK146" s="131"/>
      <c r="AL146" s="131"/>
      <c r="AM146" s="131"/>
      <c r="AN146" s="131"/>
      <c r="AO146" s="131"/>
      <c r="AP146" s="131"/>
      <c r="AQ146" s="131"/>
      <c r="AR146" s="131"/>
      <c r="AS146" s="131"/>
      <c r="AT146" s="131"/>
      <c r="AU146" s="134"/>
      <c r="AV146" s="131"/>
      <c r="AW146" s="131"/>
      <c r="AX146" s="131"/>
      <c r="AY146" s="131"/>
      <c r="AZ146" s="131"/>
      <c r="BA146" s="131"/>
      <c r="BB146" s="134"/>
      <c r="BC146" s="134"/>
      <c r="BD146" s="131"/>
      <c r="BE146" s="131"/>
      <c r="BF146" s="131"/>
      <c r="BG146" s="131"/>
      <c r="BH146" s="135"/>
      <c r="BI146" s="135"/>
      <c r="BJ146" s="135"/>
      <c r="BK146" s="135"/>
      <c r="BL146" s="135"/>
    </row>
    <row r="147">
      <c r="A147" s="81"/>
      <c r="B147" s="82" t="s">
        <v>89</v>
      </c>
      <c r="D147" s="126">
        <f t="shared" ref="D147:BG147" si="5">countifs($C$2:$C$136,"V",D$2:D$136,"x")</f>
        <v>0</v>
      </c>
      <c r="E147" s="126">
        <f t="shared" si="5"/>
        <v>0</v>
      </c>
      <c r="F147" s="126">
        <f t="shared" si="5"/>
        <v>1</v>
      </c>
      <c r="G147" s="126">
        <f t="shared" si="5"/>
        <v>0</v>
      </c>
      <c r="H147" s="126">
        <f t="shared" si="5"/>
        <v>0</v>
      </c>
      <c r="I147" s="126">
        <f t="shared" si="5"/>
        <v>1</v>
      </c>
      <c r="J147" s="126">
        <f t="shared" si="5"/>
        <v>0</v>
      </c>
      <c r="K147" s="126">
        <f t="shared" si="5"/>
        <v>0</v>
      </c>
      <c r="L147" s="126">
        <f t="shared" si="5"/>
        <v>0</v>
      </c>
      <c r="M147" s="126">
        <f t="shared" si="5"/>
        <v>0</v>
      </c>
      <c r="N147" s="126">
        <f t="shared" si="5"/>
        <v>3</v>
      </c>
      <c r="O147" s="126">
        <f t="shared" si="5"/>
        <v>0</v>
      </c>
      <c r="P147" s="126">
        <f t="shared" si="5"/>
        <v>1</v>
      </c>
      <c r="Q147" s="126">
        <f t="shared" si="5"/>
        <v>2</v>
      </c>
      <c r="R147" s="126">
        <f t="shared" si="5"/>
        <v>2</v>
      </c>
      <c r="S147" s="126">
        <f t="shared" si="5"/>
        <v>0</v>
      </c>
      <c r="T147" s="127">
        <f t="shared" si="5"/>
        <v>0</v>
      </c>
      <c r="U147" s="126">
        <f t="shared" si="5"/>
        <v>4</v>
      </c>
      <c r="V147" s="126">
        <f t="shared" si="5"/>
        <v>3</v>
      </c>
      <c r="W147" s="126">
        <f t="shared" si="5"/>
        <v>5</v>
      </c>
      <c r="X147" s="128">
        <f t="shared" si="5"/>
        <v>0</v>
      </c>
      <c r="Y147" s="126">
        <f t="shared" si="5"/>
        <v>0</v>
      </c>
      <c r="Z147" s="126">
        <f t="shared" si="5"/>
        <v>2</v>
      </c>
      <c r="AA147" s="126">
        <f t="shared" si="5"/>
        <v>3</v>
      </c>
      <c r="AB147" s="126">
        <f t="shared" si="5"/>
        <v>1</v>
      </c>
      <c r="AC147" s="126">
        <f t="shared" si="5"/>
        <v>0</v>
      </c>
      <c r="AD147" s="126">
        <f t="shared" si="5"/>
        <v>0</v>
      </c>
      <c r="AE147" s="128">
        <f t="shared" si="5"/>
        <v>0</v>
      </c>
      <c r="AF147" s="128">
        <f t="shared" si="5"/>
        <v>0</v>
      </c>
      <c r="AG147" s="128">
        <f t="shared" si="5"/>
        <v>0</v>
      </c>
      <c r="AH147" s="126">
        <f t="shared" si="5"/>
        <v>0</v>
      </c>
      <c r="AI147" s="126">
        <f t="shared" si="5"/>
        <v>2</v>
      </c>
      <c r="AJ147" s="126">
        <f t="shared" si="5"/>
        <v>1</v>
      </c>
      <c r="AK147" s="126">
        <f t="shared" si="5"/>
        <v>0</v>
      </c>
      <c r="AL147" s="126">
        <f t="shared" si="5"/>
        <v>1</v>
      </c>
      <c r="AM147" s="126">
        <f t="shared" si="5"/>
        <v>0</v>
      </c>
      <c r="AN147" s="126">
        <f t="shared" si="5"/>
        <v>0</v>
      </c>
      <c r="AO147" s="126">
        <f t="shared" si="5"/>
        <v>0</v>
      </c>
      <c r="AP147" s="126">
        <f t="shared" si="5"/>
        <v>1</v>
      </c>
      <c r="AQ147" s="126">
        <f t="shared" si="5"/>
        <v>3</v>
      </c>
      <c r="AR147" s="126">
        <f t="shared" si="5"/>
        <v>0</v>
      </c>
      <c r="AS147" s="126">
        <f t="shared" si="5"/>
        <v>0</v>
      </c>
      <c r="AT147" s="126">
        <f t="shared" si="5"/>
        <v>0</v>
      </c>
      <c r="AU147" s="129">
        <f t="shared" si="5"/>
        <v>0</v>
      </c>
      <c r="AV147" s="126">
        <f t="shared" si="5"/>
        <v>0</v>
      </c>
      <c r="AW147" s="126">
        <f t="shared" si="5"/>
        <v>0</v>
      </c>
      <c r="AX147" s="126">
        <f t="shared" si="5"/>
        <v>0</v>
      </c>
      <c r="AY147" s="126">
        <f t="shared" si="5"/>
        <v>0</v>
      </c>
      <c r="AZ147" s="126">
        <f t="shared" si="5"/>
        <v>0</v>
      </c>
      <c r="BA147" s="126">
        <f t="shared" si="5"/>
        <v>1</v>
      </c>
      <c r="BB147" s="129">
        <f t="shared" si="5"/>
        <v>0</v>
      </c>
      <c r="BC147" s="129">
        <f t="shared" si="5"/>
        <v>0</v>
      </c>
      <c r="BD147" s="126">
        <f t="shared" si="5"/>
        <v>0</v>
      </c>
      <c r="BE147" s="126">
        <f t="shared" si="5"/>
        <v>0</v>
      </c>
      <c r="BF147" s="126">
        <f t="shared" si="5"/>
        <v>0</v>
      </c>
      <c r="BG147" s="126">
        <f t="shared" si="5"/>
        <v>0</v>
      </c>
      <c r="BH147" s="130"/>
      <c r="BI147" s="130"/>
      <c r="BJ147" s="130"/>
      <c r="BK147" s="130"/>
      <c r="BL147" s="130"/>
    </row>
    <row r="148">
      <c r="A148" s="83"/>
      <c r="B148" s="84" t="s">
        <v>99</v>
      </c>
      <c r="C148" s="58"/>
      <c r="D148" s="121">
        <f t="shared" ref="D148:BG148" si="6">D145+D142+D143+D144+D147</f>
        <v>37</v>
      </c>
      <c r="E148" s="121">
        <f t="shared" si="6"/>
        <v>0</v>
      </c>
      <c r="F148" s="121">
        <f t="shared" si="6"/>
        <v>26</v>
      </c>
      <c r="G148" s="121">
        <f t="shared" si="6"/>
        <v>25</v>
      </c>
      <c r="H148" s="121">
        <f t="shared" si="6"/>
        <v>0</v>
      </c>
      <c r="I148" s="121">
        <f t="shared" si="6"/>
        <v>20</v>
      </c>
      <c r="J148" s="121">
        <f t="shared" si="6"/>
        <v>25</v>
      </c>
      <c r="K148" s="121">
        <f t="shared" si="6"/>
        <v>30</v>
      </c>
      <c r="L148" s="121">
        <f t="shared" si="6"/>
        <v>30</v>
      </c>
      <c r="M148" s="121">
        <f t="shared" si="6"/>
        <v>24</v>
      </c>
      <c r="N148" s="121">
        <f t="shared" si="6"/>
        <v>29</v>
      </c>
      <c r="O148" s="121">
        <f t="shared" si="6"/>
        <v>23</v>
      </c>
      <c r="P148" s="121">
        <f t="shared" si="6"/>
        <v>27</v>
      </c>
      <c r="Q148" s="121">
        <f t="shared" si="6"/>
        <v>28</v>
      </c>
      <c r="R148" s="121">
        <f t="shared" si="6"/>
        <v>30</v>
      </c>
      <c r="S148" s="121">
        <f t="shared" si="6"/>
        <v>23</v>
      </c>
      <c r="T148" s="122">
        <f t="shared" si="6"/>
        <v>0</v>
      </c>
      <c r="U148" s="121">
        <f t="shared" si="6"/>
        <v>40</v>
      </c>
      <c r="V148" s="121">
        <f t="shared" si="6"/>
        <v>30</v>
      </c>
      <c r="W148" s="121">
        <f t="shared" si="6"/>
        <v>31</v>
      </c>
      <c r="X148" s="123">
        <f t="shared" si="6"/>
        <v>0</v>
      </c>
      <c r="Y148" s="121">
        <f t="shared" si="6"/>
        <v>15</v>
      </c>
      <c r="Z148" s="121">
        <f t="shared" si="6"/>
        <v>24</v>
      </c>
      <c r="AA148" s="121">
        <f t="shared" si="6"/>
        <v>29</v>
      </c>
      <c r="AB148" s="121">
        <f t="shared" si="6"/>
        <v>25</v>
      </c>
      <c r="AC148" s="121">
        <f t="shared" si="6"/>
        <v>19</v>
      </c>
      <c r="AD148" s="121">
        <f t="shared" si="6"/>
        <v>30</v>
      </c>
      <c r="AE148" s="123">
        <f t="shared" si="6"/>
        <v>0</v>
      </c>
      <c r="AF148" s="123">
        <f t="shared" si="6"/>
        <v>0</v>
      </c>
      <c r="AG148" s="123">
        <f t="shared" si="6"/>
        <v>0</v>
      </c>
      <c r="AH148" s="121">
        <f t="shared" si="6"/>
        <v>24</v>
      </c>
      <c r="AI148" s="121">
        <f t="shared" si="6"/>
        <v>24</v>
      </c>
      <c r="AJ148" s="121">
        <f t="shared" si="6"/>
        <v>29</v>
      </c>
      <c r="AK148" s="121">
        <f t="shared" si="6"/>
        <v>28</v>
      </c>
      <c r="AL148" s="121">
        <f t="shared" si="6"/>
        <v>24</v>
      </c>
      <c r="AM148" s="121">
        <f t="shared" si="6"/>
        <v>24</v>
      </c>
      <c r="AN148" s="121">
        <f t="shared" si="6"/>
        <v>23</v>
      </c>
      <c r="AO148" s="121">
        <f t="shared" si="6"/>
        <v>29</v>
      </c>
      <c r="AP148" s="121">
        <f t="shared" si="6"/>
        <v>27</v>
      </c>
      <c r="AQ148" s="121">
        <f t="shared" si="6"/>
        <v>21</v>
      </c>
      <c r="AR148" s="121">
        <f t="shared" si="6"/>
        <v>24</v>
      </c>
      <c r="AS148" s="121">
        <f t="shared" si="6"/>
        <v>26</v>
      </c>
      <c r="AT148" s="121">
        <f t="shared" si="6"/>
        <v>30</v>
      </c>
      <c r="AU148" s="124">
        <f t="shared" si="6"/>
        <v>0</v>
      </c>
      <c r="AV148" s="121">
        <f t="shared" si="6"/>
        <v>0</v>
      </c>
      <c r="AW148" s="121">
        <f t="shared" si="6"/>
        <v>0</v>
      </c>
      <c r="AX148" s="121">
        <f t="shared" si="6"/>
        <v>0</v>
      </c>
      <c r="AY148" s="121">
        <f t="shared" si="6"/>
        <v>0</v>
      </c>
      <c r="AZ148" s="121">
        <f t="shared" si="6"/>
        <v>24</v>
      </c>
      <c r="BA148" s="121">
        <f t="shared" si="6"/>
        <v>26</v>
      </c>
      <c r="BB148" s="124">
        <f t="shared" si="6"/>
        <v>0</v>
      </c>
      <c r="BC148" s="124">
        <f t="shared" si="6"/>
        <v>0</v>
      </c>
      <c r="BD148" s="121">
        <f t="shared" si="6"/>
        <v>0</v>
      </c>
      <c r="BE148" s="121">
        <f t="shared" si="6"/>
        <v>0</v>
      </c>
      <c r="BF148" s="121">
        <f t="shared" si="6"/>
        <v>0</v>
      </c>
      <c r="BG148" s="121">
        <f t="shared" si="6"/>
        <v>0</v>
      </c>
      <c r="BH148" s="125"/>
      <c r="BI148" s="125"/>
      <c r="BJ148" s="125"/>
      <c r="BK148" s="125"/>
      <c r="BL148" s="125"/>
    </row>
    <row r="149">
      <c r="T149" s="136"/>
      <c r="X149" s="52"/>
      <c r="AE149" s="52"/>
      <c r="AF149" s="52"/>
      <c r="AG149" s="52"/>
      <c r="AU149" s="108"/>
      <c r="AW149" s="108"/>
      <c r="BB149" s="108"/>
      <c r="BC149" s="108"/>
    </row>
    <row r="150">
      <c r="T150" s="136"/>
      <c r="V150" s="137" t="s">
        <v>219</v>
      </c>
      <c r="W150" s="55" t="s">
        <v>220</v>
      </c>
      <c r="X150" s="52"/>
      <c r="AE150" s="52"/>
      <c r="AF150" s="52"/>
      <c r="AG150" s="52"/>
      <c r="AU150" s="108"/>
      <c r="AW150" s="108"/>
      <c r="BB150" s="108"/>
      <c r="BC150" s="108"/>
    </row>
    <row r="151">
      <c r="T151" s="136"/>
      <c r="X151" s="52"/>
      <c r="AE151" s="52"/>
      <c r="AF151" s="52"/>
      <c r="AG151" s="52"/>
      <c r="AU151" s="108"/>
      <c r="AW151" s="108"/>
      <c r="BB151" s="108"/>
      <c r="BC151" s="108"/>
    </row>
    <row r="152">
      <c r="T152" s="136"/>
      <c r="X152" s="52"/>
      <c r="AE152" s="52"/>
      <c r="AF152" s="52"/>
      <c r="AG152" s="52"/>
      <c r="AU152" s="108"/>
      <c r="AW152" s="108"/>
      <c r="BB152" s="108"/>
      <c r="BC152" s="108"/>
    </row>
    <row r="153">
      <c r="T153" s="136"/>
      <c r="X153" s="52"/>
      <c r="AE153" s="52"/>
      <c r="AF153" s="52"/>
      <c r="AG153" s="52"/>
      <c r="AU153" s="108"/>
      <c r="AW153" s="108"/>
      <c r="BB153" s="108"/>
      <c r="BC153" s="108"/>
    </row>
    <row r="154">
      <c r="T154" s="136"/>
      <c r="X154" s="52"/>
      <c r="AE154" s="52"/>
      <c r="AF154" s="52"/>
      <c r="AG154" s="52"/>
      <c r="AU154" s="108"/>
      <c r="AW154" s="108"/>
      <c r="BB154" s="108"/>
      <c r="BC154" s="108"/>
    </row>
    <row r="155">
      <c r="T155" s="136"/>
      <c r="X155" s="52"/>
      <c r="AE155" s="52"/>
      <c r="AF155" s="52"/>
      <c r="AG155" s="52"/>
      <c r="AU155" s="108"/>
      <c r="AW155" s="108"/>
      <c r="BB155" s="108"/>
      <c r="BC155" s="108"/>
    </row>
    <row r="156">
      <c r="T156" s="136"/>
      <c r="X156" s="52"/>
      <c r="AE156" s="52"/>
      <c r="AF156" s="52"/>
      <c r="AG156" s="52"/>
      <c r="AU156" s="108"/>
      <c r="AW156" s="108"/>
      <c r="BB156" s="108"/>
      <c r="BC156" s="108"/>
    </row>
    <row r="157">
      <c r="T157" s="136"/>
      <c r="X157" s="52"/>
      <c r="AE157" s="52"/>
      <c r="AF157" s="52"/>
      <c r="AG157" s="52"/>
      <c r="AU157" s="108"/>
      <c r="AW157" s="108"/>
      <c r="BB157" s="108"/>
      <c r="BC157" s="108"/>
    </row>
    <row r="158">
      <c r="T158" s="136"/>
      <c r="X158" s="52"/>
      <c r="AE158" s="52"/>
      <c r="AF158" s="52"/>
      <c r="AG158" s="52"/>
      <c r="AU158" s="108"/>
      <c r="AW158" s="108"/>
      <c r="BB158" s="108"/>
      <c r="BC158" s="108"/>
    </row>
    <row r="159">
      <c r="T159" s="136"/>
      <c r="X159" s="52"/>
      <c r="AE159" s="52"/>
      <c r="AF159" s="52"/>
      <c r="AG159" s="52"/>
      <c r="AU159" s="108"/>
      <c r="AW159" s="108"/>
      <c r="BB159" s="108"/>
      <c r="BC159" s="108"/>
    </row>
    <row r="160">
      <c r="T160" s="136"/>
      <c r="X160" s="52"/>
      <c r="AE160" s="52"/>
      <c r="AF160" s="52"/>
      <c r="AG160" s="52"/>
      <c r="AU160" s="108"/>
      <c r="AW160" s="108"/>
      <c r="BB160" s="108"/>
      <c r="BC160" s="108"/>
    </row>
    <row r="161">
      <c r="T161" s="136"/>
      <c r="X161" s="52"/>
      <c r="AE161" s="52"/>
      <c r="AF161" s="52"/>
      <c r="AG161" s="52"/>
      <c r="AU161" s="108"/>
      <c r="AW161" s="108"/>
      <c r="BB161" s="108"/>
      <c r="BC161" s="108"/>
    </row>
    <row r="162">
      <c r="T162" s="136"/>
      <c r="X162" s="52"/>
      <c r="AE162" s="52"/>
      <c r="AF162" s="52"/>
      <c r="AG162" s="52"/>
      <c r="AU162" s="108"/>
      <c r="AW162" s="108"/>
      <c r="BB162" s="108"/>
      <c r="BC162" s="108"/>
    </row>
    <row r="163">
      <c r="T163" s="136"/>
      <c r="X163" s="52"/>
      <c r="AE163" s="52"/>
      <c r="AF163" s="52"/>
      <c r="AG163" s="52"/>
      <c r="AU163" s="108"/>
      <c r="AW163" s="108"/>
      <c r="BB163" s="108"/>
      <c r="BC163" s="108"/>
    </row>
    <row r="164">
      <c r="T164" s="136"/>
      <c r="X164" s="52"/>
      <c r="AE164" s="52"/>
      <c r="AF164" s="52"/>
      <c r="AG164" s="52"/>
      <c r="AU164" s="108"/>
      <c r="AW164" s="108"/>
      <c r="BB164" s="108"/>
      <c r="BC164" s="108"/>
    </row>
    <row r="165">
      <c r="T165" s="136"/>
      <c r="X165" s="52"/>
      <c r="AE165" s="52"/>
      <c r="AF165" s="52"/>
      <c r="AG165" s="52"/>
      <c r="AU165" s="108"/>
      <c r="AW165" s="108"/>
      <c r="BB165" s="108"/>
      <c r="BC165" s="108"/>
    </row>
    <row r="166">
      <c r="T166" s="136"/>
      <c r="X166" s="52"/>
      <c r="AE166" s="52"/>
      <c r="AF166" s="52"/>
      <c r="AG166" s="52"/>
      <c r="AU166" s="108"/>
      <c r="AW166" s="108"/>
      <c r="BB166" s="108"/>
      <c r="BC166" s="108"/>
    </row>
    <row r="167">
      <c r="T167" s="136"/>
      <c r="X167" s="52"/>
      <c r="AE167" s="52"/>
      <c r="AF167" s="52"/>
      <c r="AG167" s="52"/>
      <c r="AU167" s="108"/>
      <c r="AW167" s="108"/>
      <c r="BB167" s="108"/>
      <c r="BC167" s="108"/>
    </row>
    <row r="168">
      <c r="T168" s="136"/>
      <c r="X168" s="52"/>
      <c r="AE168" s="52"/>
      <c r="AF168" s="52"/>
      <c r="AG168" s="52"/>
      <c r="AU168" s="108"/>
      <c r="AW168" s="108"/>
      <c r="BB168" s="108"/>
      <c r="BC168" s="108"/>
    </row>
    <row r="169">
      <c r="T169" s="136"/>
      <c r="X169" s="52"/>
      <c r="AE169" s="52"/>
      <c r="AF169" s="52"/>
      <c r="AG169" s="52"/>
      <c r="AU169" s="108"/>
      <c r="AW169" s="108"/>
      <c r="BB169" s="108"/>
      <c r="BC169" s="108"/>
    </row>
    <row r="170">
      <c r="T170" s="136"/>
      <c r="X170" s="52"/>
      <c r="AE170" s="52"/>
      <c r="AF170" s="52"/>
      <c r="AG170" s="52"/>
      <c r="AU170" s="108"/>
      <c r="AW170" s="108"/>
      <c r="BB170" s="108"/>
      <c r="BC170" s="108"/>
    </row>
    <row r="171">
      <c r="T171" s="136"/>
      <c r="X171" s="52"/>
      <c r="AE171" s="52"/>
      <c r="AF171" s="52"/>
      <c r="AG171" s="52"/>
      <c r="AU171" s="108"/>
      <c r="AW171" s="108"/>
      <c r="BB171" s="108"/>
      <c r="BC171" s="108"/>
    </row>
    <row r="172">
      <c r="T172" s="136"/>
      <c r="X172" s="52"/>
      <c r="AE172" s="52"/>
      <c r="AF172" s="52"/>
      <c r="AG172" s="52"/>
      <c r="AU172" s="108"/>
      <c r="AW172" s="108"/>
      <c r="BB172" s="108"/>
      <c r="BC172" s="108"/>
    </row>
    <row r="173">
      <c r="T173" s="136"/>
      <c r="X173" s="52"/>
      <c r="AE173" s="52"/>
      <c r="AF173" s="52"/>
      <c r="AG173" s="52"/>
      <c r="AU173" s="108"/>
      <c r="AW173" s="108"/>
      <c r="BB173" s="108"/>
      <c r="BC173" s="108"/>
    </row>
    <row r="174">
      <c r="T174" s="136"/>
      <c r="X174" s="52"/>
      <c r="AE174" s="52"/>
      <c r="AF174" s="52"/>
      <c r="AG174" s="52"/>
      <c r="AU174" s="108"/>
      <c r="AW174" s="108"/>
      <c r="BB174" s="108"/>
      <c r="BC174" s="108"/>
    </row>
    <row r="175">
      <c r="T175" s="136"/>
      <c r="X175" s="52"/>
      <c r="AE175" s="52"/>
      <c r="AF175" s="52"/>
      <c r="AG175" s="52"/>
      <c r="AU175" s="108"/>
      <c r="AW175" s="108"/>
      <c r="BB175" s="108"/>
      <c r="BC175" s="108"/>
    </row>
    <row r="176">
      <c r="T176" s="136"/>
      <c r="X176" s="52"/>
      <c r="AE176" s="52"/>
      <c r="AF176" s="52"/>
      <c r="AG176" s="52"/>
      <c r="AU176" s="108"/>
      <c r="AW176" s="108"/>
      <c r="BB176" s="108"/>
      <c r="BC176" s="108"/>
    </row>
    <row r="177">
      <c r="T177" s="136"/>
      <c r="X177" s="52"/>
      <c r="AE177" s="52"/>
      <c r="AF177" s="52"/>
      <c r="AG177" s="52"/>
      <c r="AU177" s="108"/>
      <c r="AW177" s="108"/>
      <c r="BB177" s="108"/>
      <c r="BC177" s="108"/>
    </row>
    <row r="178">
      <c r="T178" s="136"/>
      <c r="X178" s="52"/>
      <c r="AE178" s="52"/>
      <c r="AF178" s="52"/>
      <c r="AG178" s="52"/>
      <c r="AU178" s="108"/>
      <c r="AW178" s="108"/>
      <c r="BB178" s="108"/>
      <c r="BC178" s="108"/>
    </row>
    <row r="179">
      <c r="T179" s="136"/>
      <c r="X179" s="52"/>
      <c r="AE179" s="52"/>
      <c r="AF179" s="52"/>
      <c r="AG179" s="52"/>
      <c r="AU179" s="108"/>
      <c r="AW179" s="108"/>
      <c r="BB179" s="108"/>
      <c r="BC179" s="108"/>
    </row>
    <row r="180">
      <c r="T180" s="136"/>
      <c r="X180" s="52"/>
      <c r="AE180" s="52"/>
      <c r="AF180" s="52"/>
      <c r="AG180" s="52"/>
      <c r="AU180" s="108"/>
      <c r="AW180" s="108"/>
      <c r="BB180" s="108"/>
      <c r="BC180" s="108"/>
    </row>
    <row r="181">
      <c r="T181" s="136"/>
      <c r="X181" s="52"/>
      <c r="AE181" s="52"/>
      <c r="AF181" s="52"/>
      <c r="AG181" s="52"/>
      <c r="AU181" s="108"/>
      <c r="AW181" s="108"/>
      <c r="BB181" s="108"/>
      <c r="BC181" s="108"/>
    </row>
    <row r="182">
      <c r="T182" s="136"/>
      <c r="X182" s="52"/>
      <c r="AE182" s="52"/>
      <c r="AF182" s="52"/>
      <c r="AG182" s="52"/>
      <c r="AU182" s="108"/>
      <c r="AW182" s="108"/>
      <c r="BB182" s="108"/>
      <c r="BC182" s="108"/>
    </row>
    <row r="183">
      <c r="T183" s="136"/>
      <c r="X183" s="52"/>
      <c r="AE183" s="52"/>
      <c r="AF183" s="52"/>
      <c r="AG183" s="52"/>
      <c r="AU183" s="108"/>
      <c r="AW183" s="108"/>
      <c r="BB183" s="108"/>
      <c r="BC183" s="108"/>
    </row>
    <row r="184">
      <c r="T184" s="136"/>
      <c r="X184" s="52"/>
      <c r="AE184" s="52"/>
      <c r="AF184" s="52"/>
      <c r="AG184" s="52"/>
      <c r="AU184" s="108"/>
      <c r="AW184" s="108"/>
      <c r="BB184" s="108"/>
      <c r="BC184" s="108"/>
    </row>
    <row r="185">
      <c r="T185" s="136"/>
      <c r="X185" s="52"/>
      <c r="AE185" s="52"/>
      <c r="AF185" s="52"/>
      <c r="AG185" s="52"/>
      <c r="AU185" s="108"/>
      <c r="AW185" s="108"/>
      <c r="BB185" s="108"/>
      <c r="BC185" s="108"/>
    </row>
    <row r="186">
      <c r="T186" s="136"/>
      <c r="X186" s="52"/>
      <c r="AE186" s="52"/>
      <c r="AF186" s="52"/>
      <c r="AG186" s="52"/>
      <c r="AU186" s="108"/>
      <c r="AW186" s="108"/>
      <c r="BB186" s="108"/>
      <c r="BC186" s="108"/>
    </row>
    <row r="187">
      <c r="T187" s="136"/>
      <c r="X187" s="52"/>
      <c r="AE187" s="52"/>
      <c r="AF187" s="52"/>
      <c r="AG187" s="52"/>
      <c r="AU187" s="108"/>
      <c r="AW187" s="108"/>
      <c r="BB187" s="108"/>
      <c r="BC187" s="108"/>
    </row>
    <row r="188">
      <c r="T188" s="136"/>
      <c r="X188" s="52"/>
      <c r="AE188" s="52"/>
      <c r="AF188" s="52"/>
      <c r="AG188" s="52"/>
      <c r="AU188" s="108"/>
      <c r="AW188" s="108"/>
      <c r="BB188" s="108"/>
      <c r="BC188" s="108"/>
    </row>
    <row r="189">
      <c r="T189" s="136"/>
      <c r="X189" s="52"/>
      <c r="AE189" s="52"/>
      <c r="AF189" s="52"/>
      <c r="AG189" s="52"/>
      <c r="AU189" s="108"/>
      <c r="AW189" s="108"/>
      <c r="BB189" s="108"/>
      <c r="BC189" s="108"/>
    </row>
    <row r="190">
      <c r="T190" s="136"/>
      <c r="X190" s="52"/>
      <c r="AE190" s="52"/>
      <c r="AF190" s="52"/>
      <c r="AG190" s="52"/>
      <c r="AU190" s="108"/>
      <c r="AW190" s="108"/>
      <c r="BB190" s="108"/>
      <c r="BC190" s="108"/>
    </row>
    <row r="191">
      <c r="T191" s="136"/>
      <c r="X191" s="52"/>
      <c r="AE191" s="52"/>
      <c r="AF191" s="52"/>
      <c r="AG191" s="52"/>
      <c r="AU191" s="108"/>
      <c r="AW191" s="108"/>
      <c r="BB191" s="108"/>
      <c r="BC191" s="108"/>
    </row>
    <row r="192">
      <c r="T192" s="136"/>
      <c r="X192" s="52"/>
      <c r="AE192" s="52"/>
      <c r="AF192" s="52"/>
      <c r="AG192" s="52"/>
      <c r="AU192" s="108"/>
      <c r="AW192" s="108"/>
      <c r="BB192" s="108"/>
      <c r="BC192" s="108"/>
    </row>
    <row r="193">
      <c r="T193" s="136"/>
      <c r="X193" s="52"/>
      <c r="AE193" s="52"/>
      <c r="AF193" s="52"/>
      <c r="AG193" s="52"/>
      <c r="AU193" s="108"/>
      <c r="AW193" s="108"/>
      <c r="BB193" s="108"/>
      <c r="BC193" s="108"/>
    </row>
    <row r="194">
      <c r="T194" s="136"/>
      <c r="X194" s="52"/>
      <c r="AE194" s="52"/>
      <c r="AF194" s="52"/>
      <c r="AG194" s="52"/>
      <c r="AU194" s="108"/>
      <c r="AW194" s="108"/>
      <c r="BB194" s="108"/>
      <c r="BC194" s="108"/>
    </row>
    <row r="195">
      <c r="T195" s="136"/>
      <c r="X195" s="52"/>
      <c r="AE195" s="52"/>
      <c r="AF195" s="52"/>
      <c r="AG195" s="52"/>
      <c r="AU195" s="108"/>
      <c r="AW195" s="108"/>
      <c r="BB195" s="108"/>
      <c r="BC195" s="108"/>
    </row>
    <row r="196">
      <c r="T196" s="136"/>
      <c r="X196" s="52"/>
      <c r="AE196" s="52"/>
      <c r="AF196" s="52"/>
      <c r="AG196" s="52"/>
      <c r="AU196" s="108"/>
      <c r="AW196" s="108"/>
      <c r="BB196" s="108"/>
      <c r="BC196" s="108"/>
    </row>
    <row r="197">
      <c r="T197" s="136"/>
      <c r="X197" s="52"/>
      <c r="AE197" s="52"/>
      <c r="AF197" s="52"/>
      <c r="AG197" s="52"/>
      <c r="AU197" s="108"/>
      <c r="AW197" s="108"/>
      <c r="BB197" s="108"/>
      <c r="BC197" s="108"/>
    </row>
    <row r="198">
      <c r="T198" s="136"/>
      <c r="X198" s="52"/>
      <c r="AE198" s="52"/>
      <c r="AF198" s="52"/>
      <c r="AG198" s="52"/>
      <c r="AU198" s="108"/>
      <c r="AW198" s="108"/>
      <c r="BB198" s="108"/>
      <c r="BC198" s="108"/>
    </row>
    <row r="199">
      <c r="T199" s="136"/>
      <c r="X199" s="52"/>
      <c r="AE199" s="52"/>
      <c r="AF199" s="52"/>
      <c r="AG199" s="52"/>
      <c r="AU199" s="108"/>
      <c r="AW199" s="108"/>
      <c r="BB199" s="108"/>
      <c r="BC199" s="108"/>
    </row>
    <row r="200">
      <c r="T200" s="136"/>
      <c r="X200" s="52"/>
      <c r="AE200" s="52"/>
      <c r="AF200" s="52"/>
      <c r="AG200" s="52"/>
      <c r="AU200" s="108"/>
      <c r="AW200" s="108"/>
      <c r="BB200" s="108"/>
      <c r="BC200" s="108"/>
    </row>
    <row r="201">
      <c r="T201" s="136"/>
      <c r="X201" s="52"/>
      <c r="AE201" s="52"/>
      <c r="AF201" s="52"/>
      <c r="AG201" s="52"/>
      <c r="AU201" s="108"/>
      <c r="AW201" s="108"/>
      <c r="BB201" s="108"/>
      <c r="BC201" s="108"/>
    </row>
    <row r="202">
      <c r="T202" s="136"/>
      <c r="X202" s="52"/>
      <c r="AE202" s="52"/>
      <c r="AF202" s="52"/>
      <c r="AG202" s="52"/>
      <c r="AU202" s="108"/>
      <c r="AW202" s="108"/>
      <c r="BB202" s="108"/>
      <c r="BC202" s="108"/>
    </row>
    <row r="203">
      <c r="T203" s="136"/>
      <c r="X203" s="52"/>
      <c r="AE203" s="52"/>
      <c r="AF203" s="52"/>
      <c r="AG203" s="52"/>
      <c r="AU203" s="108"/>
      <c r="AW203" s="108"/>
      <c r="BB203" s="108"/>
      <c r="BC203" s="108"/>
    </row>
    <row r="204">
      <c r="T204" s="136"/>
      <c r="X204" s="52"/>
      <c r="AE204" s="52"/>
      <c r="AF204" s="52"/>
      <c r="AG204" s="52"/>
      <c r="AU204" s="108"/>
      <c r="AW204" s="108"/>
      <c r="BB204" s="108"/>
      <c r="BC204" s="108"/>
    </row>
    <row r="205">
      <c r="T205" s="136"/>
      <c r="X205" s="52"/>
      <c r="AE205" s="52"/>
      <c r="AF205" s="52"/>
      <c r="AG205" s="52"/>
      <c r="AU205" s="108"/>
      <c r="AW205" s="108"/>
      <c r="BB205" s="108"/>
      <c r="BC205" s="108"/>
    </row>
    <row r="206">
      <c r="T206" s="136"/>
      <c r="X206" s="52"/>
      <c r="AE206" s="52"/>
      <c r="AF206" s="52"/>
      <c r="AG206" s="52"/>
      <c r="AU206" s="108"/>
      <c r="AW206" s="108"/>
      <c r="BB206" s="108"/>
      <c r="BC206" s="108"/>
    </row>
    <row r="207">
      <c r="T207" s="136"/>
      <c r="X207" s="52"/>
      <c r="AE207" s="52"/>
      <c r="AF207" s="52"/>
      <c r="AG207" s="52"/>
      <c r="AU207" s="108"/>
      <c r="AW207" s="108"/>
      <c r="BB207" s="108"/>
      <c r="BC207" s="108"/>
    </row>
    <row r="208">
      <c r="T208" s="136"/>
      <c r="X208" s="52"/>
      <c r="AE208" s="52"/>
      <c r="AF208" s="52"/>
      <c r="AG208" s="52"/>
      <c r="AU208" s="108"/>
      <c r="AW208" s="108"/>
      <c r="BB208" s="108"/>
      <c r="BC208" s="108"/>
    </row>
    <row r="209">
      <c r="T209" s="136"/>
      <c r="X209" s="52"/>
      <c r="AE209" s="52"/>
      <c r="AF209" s="52"/>
      <c r="AG209" s="52"/>
      <c r="AU209" s="108"/>
      <c r="AW209" s="108"/>
      <c r="BB209" s="108"/>
      <c r="BC209" s="108"/>
    </row>
    <row r="210">
      <c r="T210" s="136"/>
      <c r="X210" s="52"/>
      <c r="AE210" s="52"/>
      <c r="AF210" s="52"/>
      <c r="AG210" s="52"/>
      <c r="AU210" s="108"/>
      <c r="AW210" s="108"/>
      <c r="BB210" s="108"/>
      <c r="BC210" s="108"/>
    </row>
    <row r="211">
      <c r="T211" s="136"/>
      <c r="X211" s="52"/>
      <c r="AE211" s="52"/>
      <c r="AF211" s="52"/>
      <c r="AG211" s="52"/>
      <c r="AU211" s="108"/>
      <c r="AW211" s="108"/>
      <c r="BB211" s="108"/>
      <c r="BC211" s="108"/>
    </row>
    <row r="212">
      <c r="T212" s="136"/>
      <c r="X212" s="52"/>
      <c r="AE212" s="52"/>
      <c r="AF212" s="52"/>
      <c r="AG212" s="52"/>
      <c r="AU212" s="108"/>
      <c r="AW212" s="108"/>
      <c r="BB212" s="108"/>
      <c r="BC212" s="108"/>
    </row>
    <row r="213">
      <c r="T213" s="136"/>
      <c r="X213" s="52"/>
      <c r="AE213" s="52"/>
      <c r="AF213" s="52"/>
      <c r="AG213" s="52"/>
      <c r="AU213" s="108"/>
      <c r="AW213" s="108"/>
      <c r="BB213" s="108"/>
      <c r="BC213" s="108"/>
    </row>
    <row r="214">
      <c r="T214" s="136"/>
      <c r="X214" s="52"/>
      <c r="AE214" s="52"/>
      <c r="AF214" s="52"/>
      <c r="AG214" s="52"/>
      <c r="AU214" s="108"/>
      <c r="AW214" s="108"/>
      <c r="BB214" s="108"/>
      <c r="BC214" s="108"/>
    </row>
    <row r="215">
      <c r="T215" s="136"/>
      <c r="X215" s="52"/>
      <c r="AE215" s="52"/>
      <c r="AF215" s="52"/>
      <c r="AG215" s="52"/>
      <c r="AU215" s="108"/>
      <c r="AW215" s="108"/>
      <c r="BB215" s="108"/>
      <c r="BC215" s="108"/>
    </row>
    <row r="216">
      <c r="T216" s="136"/>
      <c r="X216" s="52"/>
      <c r="AE216" s="52"/>
      <c r="AF216" s="52"/>
      <c r="AG216" s="52"/>
      <c r="AU216" s="108"/>
      <c r="AW216" s="108"/>
      <c r="BB216" s="108"/>
      <c r="BC216" s="108"/>
    </row>
    <row r="217">
      <c r="T217" s="136"/>
      <c r="X217" s="52"/>
      <c r="AE217" s="52"/>
      <c r="AF217" s="52"/>
      <c r="AG217" s="52"/>
      <c r="AU217" s="108"/>
      <c r="AW217" s="108"/>
      <c r="BB217" s="108"/>
      <c r="BC217" s="108"/>
    </row>
    <row r="218">
      <c r="T218" s="136"/>
      <c r="X218" s="52"/>
      <c r="AE218" s="52"/>
      <c r="AF218" s="52"/>
      <c r="AG218" s="52"/>
      <c r="AU218" s="108"/>
      <c r="AW218" s="108"/>
      <c r="BB218" s="108"/>
      <c r="BC218" s="108"/>
    </row>
    <row r="219">
      <c r="T219" s="136"/>
      <c r="X219" s="52"/>
      <c r="AE219" s="52"/>
      <c r="AF219" s="52"/>
      <c r="AG219" s="52"/>
      <c r="AU219" s="108"/>
      <c r="AW219" s="108"/>
      <c r="BB219" s="108"/>
      <c r="BC219" s="108"/>
    </row>
    <row r="220">
      <c r="T220" s="136"/>
      <c r="X220" s="52"/>
      <c r="AE220" s="52"/>
      <c r="AF220" s="52"/>
      <c r="AG220" s="52"/>
      <c r="AU220" s="108"/>
      <c r="AW220" s="108"/>
      <c r="BB220" s="108"/>
      <c r="BC220" s="108"/>
    </row>
    <row r="221">
      <c r="T221" s="136"/>
      <c r="X221" s="52"/>
      <c r="AE221" s="52"/>
      <c r="AF221" s="52"/>
      <c r="AG221" s="52"/>
      <c r="AU221" s="108"/>
      <c r="AW221" s="108"/>
      <c r="BB221" s="108"/>
      <c r="BC221" s="108"/>
    </row>
    <row r="222">
      <c r="T222" s="136"/>
      <c r="X222" s="52"/>
      <c r="AE222" s="52"/>
      <c r="AF222" s="52"/>
      <c r="AG222" s="52"/>
      <c r="AU222" s="108"/>
      <c r="AW222" s="108"/>
      <c r="BB222" s="108"/>
      <c r="BC222" s="108"/>
    </row>
    <row r="223">
      <c r="T223" s="136"/>
      <c r="X223" s="52"/>
      <c r="AE223" s="52"/>
      <c r="AF223" s="52"/>
      <c r="AG223" s="52"/>
      <c r="AU223" s="108"/>
      <c r="AW223" s="108"/>
      <c r="BB223" s="108"/>
      <c r="BC223" s="108"/>
    </row>
    <row r="224">
      <c r="T224" s="136"/>
      <c r="X224" s="52"/>
      <c r="AE224" s="52"/>
      <c r="AF224" s="52"/>
      <c r="AG224" s="52"/>
      <c r="AU224" s="108"/>
      <c r="AW224" s="108"/>
      <c r="BB224" s="108"/>
      <c r="BC224" s="108"/>
    </row>
    <row r="225">
      <c r="T225" s="136"/>
      <c r="X225" s="52"/>
      <c r="AE225" s="52"/>
      <c r="AF225" s="52"/>
      <c r="AG225" s="52"/>
      <c r="AU225" s="108"/>
      <c r="AW225" s="108"/>
      <c r="BB225" s="108"/>
      <c r="BC225" s="108"/>
    </row>
    <row r="226">
      <c r="T226" s="136"/>
      <c r="X226" s="52"/>
      <c r="AE226" s="52"/>
      <c r="AF226" s="52"/>
      <c r="AG226" s="52"/>
      <c r="AU226" s="108"/>
      <c r="AW226" s="108"/>
      <c r="BB226" s="108"/>
      <c r="BC226" s="108"/>
    </row>
    <row r="227">
      <c r="T227" s="136"/>
      <c r="X227" s="52"/>
      <c r="AE227" s="52"/>
      <c r="AF227" s="52"/>
      <c r="AG227" s="52"/>
      <c r="AU227" s="108"/>
      <c r="AW227" s="108"/>
      <c r="BB227" s="108"/>
      <c r="BC227" s="108"/>
    </row>
    <row r="228">
      <c r="T228" s="136"/>
      <c r="X228" s="52"/>
      <c r="AE228" s="52"/>
      <c r="AF228" s="52"/>
      <c r="AG228" s="52"/>
      <c r="AU228" s="108"/>
      <c r="AW228" s="108"/>
      <c r="BB228" s="108"/>
      <c r="BC228" s="108"/>
    </row>
    <row r="229">
      <c r="T229" s="136"/>
      <c r="X229" s="52"/>
      <c r="AE229" s="52"/>
      <c r="AF229" s="52"/>
      <c r="AG229" s="52"/>
      <c r="AU229" s="108"/>
      <c r="AW229" s="108"/>
      <c r="BB229" s="108"/>
      <c r="BC229" s="108"/>
    </row>
    <row r="230">
      <c r="T230" s="136"/>
      <c r="X230" s="52"/>
      <c r="AE230" s="52"/>
      <c r="AF230" s="52"/>
      <c r="AG230" s="52"/>
      <c r="AU230" s="108"/>
      <c r="AW230" s="108"/>
      <c r="BB230" s="108"/>
      <c r="BC230" s="108"/>
    </row>
    <row r="231">
      <c r="T231" s="136"/>
      <c r="X231" s="52"/>
      <c r="AE231" s="52"/>
      <c r="AF231" s="52"/>
      <c r="AG231" s="52"/>
      <c r="AU231" s="108"/>
      <c r="AW231" s="108"/>
      <c r="BB231" s="108"/>
      <c r="BC231" s="108"/>
    </row>
    <row r="232">
      <c r="T232" s="136"/>
      <c r="X232" s="52"/>
      <c r="AE232" s="52"/>
      <c r="AF232" s="52"/>
      <c r="AG232" s="52"/>
      <c r="AU232" s="108"/>
      <c r="AW232" s="108"/>
      <c r="BB232" s="108"/>
      <c r="BC232" s="108"/>
    </row>
    <row r="233">
      <c r="T233" s="136"/>
      <c r="X233" s="52"/>
      <c r="AE233" s="52"/>
      <c r="AF233" s="52"/>
      <c r="AG233" s="52"/>
      <c r="AU233" s="108"/>
      <c r="AW233" s="108"/>
      <c r="BB233" s="108"/>
      <c r="BC233" s="108"/>
    </row>
    <row r="234">
      <c r="T234" s="136"/>
      <c r="X234" s="52"/>
      <c r="AE234" s="52"/>
      <c r="AF234" s="52"/>
      <c r="AG234" s="52"/>
      <c r="AU234" s="108"/>
      <c r="AW234" s="108"/>
      <c r="BB234" s="108"/>
      <c r="BC234" s="108"/>
    </row>
    <row r="235">
      <c r="T235" s="136"/>
      <c r="X235" s="52"/>
      <c r="AE235" s="52"/>
      <c r="AF235" s="52"/>
      <c r="AG235" s="52"/>
      <c r="AU235" s="108"/>
      <c r="AW235" s="108"/>
      <c r="BB235" s="108"/>
      <c r="BC235" s="108"/>
    </row>
    <row r="236">
      <c r="T236" s="136"/>
      <c r="X236" s="52"/>
      <c r="AE236" s="52"/>
      <c r="AF236" s="52"/>
      <c r="AG236" s="52"/>
      <c r="AU236" s="108"/>
      <c r="AW236" s="108"/>
      <c r="BB236" s="108"/>
      <c r="BC236" s="108"/>
    </row>
    <row r="237">
      <c r="T237" s="136"/>
      <c r="X237" s="52"/>
      <c r="AE237" s="52"/>
      <c r="AF237" s="52"/>
      <c r="AG237" s="52"/>
      <c r="AU237" s="108"/>
      <c r="AW237" s="108"/>
      <c r="BB237" s="108"/>
      <c r="BC237" s="108"/>
    </row>
    <row r="238">
      <c r="T238" s="136"/>
      <c r="X238" s="52"/>
      <c r="AE238" s="52"/>
      <c r="AF238" s="52"/>
      <c r="AG238" s="52"/>
      <c r="AU238" s="108"/>
      <c r="AW238" s="108"/>
      <c r="BB238" s="108"/>
      <c r="BC238" s="108"/>
    </row>
    <row r="239">
      <c r="T239" s="136"/>
      <c r="X239" s="52"/>
      <c r="AE239" s="52"/>
      <c r="AF239" s="52"/>
      <c r="AG239" s="52"/>
      <c r="AU239" s="108"/>
      <c r="AW239" s="108"/>
      <c r="BB239" s="108"/>
      <c r="BC239" s="108"/>
    </row>
    <row r="240">
      <c r="T240" s="136"/>
      <c r="X240" s="52"/>
      <c r="AE240" s="52"/>
      <c r="AF240" s="52"/>
      <c r="AG240" s="52"/>
      <c r="AU240" s="108"/>
      <c r="AW240" s="108"/>
      <c r="BB240" s="108"/>
      <c r="BC240" s="108"/>
    </row>
    <row r="241">
      <c r="T241" s="136"/>
      <c r="X241" s="52"/>
      <c r="AE241" s="52"/>
      <c r="AF241" s="52"/>
      <c r="AG241" s="52"/>
      <c r="AU241" s="108"/>
      <c r="AW241" s="108"/>
      <c r="BB241" s="108"/>
      <c r="BC241" s="108"/>
    </row>
    <row r="242">
      <c r="T242" s="136"/>
      <c r="X242" s="52"/>
      <c r="AE242" s="52"/>
      <c r="AF242" s="52"/>
      <c r="AG242" s="52"/>
      <c r="AU242" s="108"/>
      <c r="AW242" s="108"/>
      <c r="BB242" s="108"/>
      <c r="BC242" s="108"/>
    </row>
    <row r="243">
      <c r="T243" s="136"/>
      <c r="X243" s="52"/>
      <c r="AE243" s="52"/>
      <c r="AF243" s="52"/>
      <c r="AG243" s="52"/>
      <c r="AU243" s="108"/>
      <c r="AW243" s="108"/>
      <c r="BB243" s="108"/>
      <c r="BC243" s="108"/>
    </row>
    <row r="244">
      <c r="T244" s="136"/>
      <c r="X244" s="52"/>
      <c r="AE244" s="52"/>
      <c r="AF244" s="52"/>
      <c r="AG244" s="52"/>
      <c r="AU244" s="108"/>
      <c r="AW244" s="108"/>
      <c r="BB244" s="108"/>
      <c r="BC244" s="108"/>
    </row>
    <row r="245">
      <c r="T245" s="136"/>
      <c r="X245" s="52"/>
      <c r="AE245" s="52"/>
      <c r="AF245" s="52"/>
      <c r="AG245" s="52"/>
      <c r="AU245" s="108"/>
      <c r="AW245" s="108"/>
      <c r="BB245" s="108"/>
      <c r="BC245" s="108"/>
    </row>
    <row r="246">
      <c r="T246" s="136"/>
      <c r="X246" s="52"/>
      <c r="AE246" s="52"/>
      <c r="AF246" s="52"/>
      <c r="AG246" s="52"/>
      <c r="AU246" s="108"/>
      <c r="AW246" s="108"/>
      <c r="BB246" s="108"/>
      <c r="BC246" s="108"/>
    </row>
    <row r="247">
      <c r="T247" s="136"/>
      <c r="X247" s="52"/>
      <c r="AE247" s="52"/>
      <c r="AF247" s="52"/>
      <c r="AG247" s="52"/>
      <c r="AU247" s="108"/>
      <c r="AW247" s="108"/>
      <c r="BB247" s="108"/>
      <c r="BC247" s="108"/>
    </row>
    <row r="248">
      <c r="T248" s="136"/>
      <c r="X248" s="52"/>
      <c r="AE248" s="52"/>
      <c r="AF248" s="52"/>
      <c r="AG248" s="52"/>
      <c r="AU248" s="108"/>
      <c r="AW248" s="108"/>
      <c r="BB248" s="108"/>
      <c r="BC248" s="108"/>
    </row>
    <row r="249">
      <c r="T249" s="136"/>
      <c r="X249" s="52"/>
      <c r="AE249" s="52"/>
      <c r="AF249" s="52"/>
      <c r="AG249" s="52"/>
      <c r="AU249" s="108"/>
      <c r="AW249" s="108"/>
      <c r="BB249" s="108"/>
      <c r="BC249" s="108"/>
    </row>
    <row r="250">
      <c r="T250" s="136"/>
      <c r="X250" s="52"/>
      <c r="AE250" s="52"/>
      <c r="AF250" s="52"/>
      <c r="AG250" s="52"/>
      <c r="AU250" s="108"/>
      <c r="AW250" s="108"/>
      <c r="BB250" s="108"/>
      <c r="BC250" s="108"/>
    </row>
    <row r="251">
      <c r="T251" s="136"/>
      <c r="X251" s="52"/>
      <c r="AE251" s="52"/>
      <c r="AF251" s="52"/>
      <c r="AG251" s="52"/>
      <c r="AU251" s="108"/>
      <c r="AW251" s="108"/>
      <c r="BB251" s="108"/>
      <c r="BC251" s="108"/>
    </row>
    <row r="252">
      <c r="T252" s="136"/>
      <c r="X252" s="52"/>
      <c r="AE252" s="52"/>
      <c r="AF252" s="52"/>
      <c r="AG252" s="52"/>
      <c r="AU252" s="108"/>
      <c r="AW252" s="108"/>
      <c r="BB252" s="108"/>
      <c r="BC252" s="108"/>
    </row>
    <row r="253">
      <c r="T253" s="136"/>
      <c r="X253" s="52"/>
      <c r="AE253" s="52"/>
      <c r="AF253" s="52"/>
      <c r="AG253" s="52"/>
      <c r="AU253" s="108"/>
      <c r="AW253" s="108"/>
      <c r="BB253" s="108"/>
      <c r="BC253" s="108"/>
    </row>
    <row r="254">
      <c r="T254" s="136"/>
      <c r="X254" s="52"/>
      <c r="AE254" s="52"/>
      <c r="AF254" s="52"/>
      <c r="AG254" s="52"/>
      <c r="AU254" s="108"/>
      <c r="AW254" s="108"/>
      <c r="BB254" s="108"/>
      <c r="BC254" s="108"/>
    </row>
    <row r="255">
      <c r="T255" s="136"/>
      <c r="X255" s="52"/>
      <c r="AE255" s="52"/>
      <c r="AF255" s="52"/>
      <c r="AG255" s="52"/>
      <c r="AU255" s="108"/>
      <c r="AW255" s="108"/>
      <c r="BB255" s="108"/>
      <c r="BC255" s="108"/>
    </row>
    <row r="256">
      <c r="T256" s="136"/>
      <c r="X256" s="52"/>
      <c r="AE256" s="52"/>
      <c r="AF256" s="52"/>
      <c r="AG256" s="52"/>
      <c r="AU256" s="108"/>
      <c r="AW256" s="108"/>
      <c r="BB256" s="108"/>
      <c r="BC256" s="108"/>
    </row>
    <row r="257">
      <c r="T257" s="136"/>
      <c r="X257" s="52"/>
      <c r="AE257" s="52"/>
      <c r="AF257" s="52"/>
      <c r="AG257" s="52"/>
      <c r="AU257" s="108"/>
      <c r="AW257" s="108"/>
      <c r="BB257" s="108"/>
      <c r="BC257" s="108"/>
    </row>
    <row r="258">
      <c r="T258" s="136"/>
      <c r="X258" s="52"/>
      <c r="AE258" s="52"/>
      <c r="AF258" s="52"/>
      <c r="AG258" s="52"/>
      <c r="AU258" s="108"/>
      <c r="AW258" s="108"/>
      <c r="BB258" s="108"/>
      <c r="BC258" s="108"/>
    </row>
    <row r="259">
      <c r="T259" s="136"/>
      <c r="X259" s="52"/>
      <c r="AE259" s="52"/>
      <c r="AF259" s="52"/>
      <c r="AG259" s="52"/>
      <c r="AU259" s="108"/>
      <c r="AW259" s="108"/>
      <c r="BB259" s="108"/>
      <c r="BC259" s="108"/>
    </row>
    <row r="260">
      <c r="T260" s="136"/>
      <c r="X260" s="52"/>
      <c r="AE260" s="52"/>
      <c r="AF260" s="52"/>
      <c r="AG260" s="52"/>
      <c r="AU260" s="108"/>
      <c r="AW260" s="108"/>
      <c r="BB260" s="108"/>
      <c r="BC260" s="108"/>
    </row>
    <row r="261">
      <c r="T261" s="136"/>
      <c r="X261" s="52"/>
      <c r="AE261" s="52"/>
      <c r="AF261" s="52"/>
      <c r="AG261" s="52"/>
      <c r="AU261" s="108"/>
      <c r="AW261" s="108"/>
      <c r="BB261" s="108"/>
      <c r="BC261" s="108"/>
    </row>
    <row r="262">
      <c r="T262" s="136"/>
      <c r="X262" s="52"/>
      <c r="AE262" s="52"/>
      <c r="AF262" s="52"/>
      <c r="AG262" s="52"/>
      <c r="AU262" s="108"/>
      <c r="AW262" s="108"/>
      <c r="BB262" s="108"/>
      <c r="BC262" s="108"/>
    </row>
    <row r="263">
      <c r="T263" s="136"/>
      <c r="X263" s="52"/>
      <c r="AE263" s="52"/>
      <c r="AF263" s="52"/>
      <c r="AG263" s="52"/>
      <c r="AU263" s="108"/>
      <c r="AW263" s="108"/>
      <c r="BB263" s="108"/>
      <c r="BC263" s="108"/>
    </row>
    <row r="264">
      <c r="T264" s="136"/>
      <c r="X264" s="52"/>
      <c r="AE264" s="52"/>
      <c r="AF264" s="52"/>
      <c r="AG264" s="52"/>
      <c r="AU264" s="108"/>
      <c r="AW264" s="108"/>
      <c r="BB264" s="108"/>
      <c r="BC264" s="108"/>
    </row>
    <row r="265">
      <c r="T265" s="136"/>
      <c r="X265" s="52"/>
      <c r="AE265" s="52"/>
      <c r="AF265" s="52"/>
      <c r="AG265" s="52"/>
      <c r="AU265" s="108"/>
      <c r="AW265" s="108"/>
      <c r="BB265" s="108"/>
      <c r="BC265" s="108"/>
    </row>
    <row r="266">
      <c r="T266" s="136"/>
      <c r="X266" s="52"/>
      <c r="AE266" s="52"/>
      <c r="AF266" s="52"/>
      <c r="AG266" s="52"/>
      <c r="AU266" s="108"/>
      <c r="AW266" s="108"/>
      <c r="BB266" s="108"/>
      <c r="BC266" s="108"/>
    </row>
    <row r="267">
      <c r="T267" s="136"/>
      <c r="X267" s="52"/>
      <c r="AE267" s="52"/>
      <c r="AF267" s="52"/>
      <c r="AG267" s="52"/>
      <c r="AU267" s="108"/>
      <c r="AW267" s="108"/>
      <c r="BB267" s="108"/>
      <c r="BC267" s="108"/>
    </row>
    <row r="268">
      <c r="T268" s="136"/>
      <c r="X268" s="52"/>
      <c r="AE268" s="52"/>
      <c r="AF268" s="52"/>
      <c r="AG268" s="52"/>
      <c r="AU268" s="108"/>
      <c r="AW268" s="108"/>
      <c r="BB268" s="108"/>
      <c r="BC268" s="108"/>
    </row>
    <row r="269">
      <c r="T269" s="136"/>
      <c r="X269" s="52"/>
      <c r="AE269" s="52"/>
      <c r="AF269" s="52"/>
      <c r="AG269" s="52"/>
      <c r="AU269" s="108"/>
      <c r="AW269" s="108"/>
      <c r="BB269" s="108"/>
      <c r="BC269" s="108"/>
    </row>
    <row r="270">
      <c r="T270" s="136"/>
      <c r="X270" s="52"/>
      <c r="AE270" s="52"/>
      <c r="AF270" s="52"/>
      <c r="AG270" s="52"/>
      <c r="AU270" s="108"/>
      <c r="AW270" s="108"/>
      <c r="BB270" s="108"/>
      <c r="BC270" s="108"/>
    </row>
    <row r="271">
      <c r="T271" s="136"/>
      <c r="X271" s="52"/>
      <c r="AE271" s="52"/>
      <c r="AF271" s="52"/>
      <c r="AG271" s="52"/>
      <c r="AU271" s="108"/>
      <c r="AW271" s="108"/>
      <c r="BB271" s="108"/>
      <c r="BC271" s="108"/>
    </row>
    <row r="272">
      <c r="T272" s="136"/>
      <c r="X272" s="52"/>
      <c r="AE272" s="52"/>
      <c r="AF272" s="52"/>
      <c r="AG272" s="52"/>
      <c r="AU272" s="108"/>
      <c r="AW272" s="108"/>
      <c r="BB272" s="108"/>
      <c r="BC272" s="108"/>
    </row>
    <row r="273">
      <c r="T273" s="136"/>
      <c r="X273" s="52"/>
      <c r="AE273" s="52"/>
      <c r="AF273" s="52"/>
      <c r="AG273" s="52"/>
      <c r="AU273" s="108"/>
      <c r="AW273" s="108"/>
      <c r="BB273" s="108"/>
      <c r="BC273" s="108"/>
    </row>
    <row r="274">
      <c r="T274" s="136"/>
      <c r="X274" s="52"/>
      <c r="AE274" s="52"/>
      <c r="AF274" s="52"/>
      <c r="AG274" s="52"/>
      <c r="AU274" s="108"/>
      <c r="AW274" s="108"/>
      <c r="BB274" s="108"/>
      <c r="BC274" s="108"/>
    </row>
    <row r="275">
      <c r="T275" s="136"/>
      <c r="X275" s="52"/>
      <c r="AE275" s="52"/>
      <c r="AF275" s="52"/>
      <c r="AG275" s="52"/>
      <c r="AU275" s="108"/>
      <c r="AW275" s="108"/>
      <c r="BB275" s="108"/>
      <c r="BC275" s="108"/>
    </row>
    <row r="276">
      <c r="T276" s="136"/>
      <c r="X276" s="52"/>
      <c r="AE276" s="52"/>
      <c r="AF276" s="52"/>
      <c r="AG276" s="52"/>
      <c r="AU276" s="108"/>
      <c r="AW276" s="108"/>
      <c r="BB276" s="108"/>
      <c r="BC276" s="108"/>
    </row>
    <row r="277">
      <c r="T277" s="136"/>
      <c r="X277" s="52"/>
      <c r="AE277" s="52"/>
      <c r="AF277" s="52"/>
      <c r="AG277" s="52"/>
      <c r="AU277" s="108"/>
      <c r="AW277" s="108"/>
      <c r="BB277" s="108"/>
      <c r="BC277" s="108"/>
    </row>
    <row r="278">
      <c r="T278" s="136"/>
      <c r="X278" s="52"/>
      <c r="AE278" s="52"/>
      <c r="AF278" s="52"/>
      <c r="AG278" s="52"/>
      <c r="AU278" s="108"/>
      <c r="AW278" s="108"/>
      <c r="BB278" s="108"/>
      <c r="BC278" s="108"/>
    </row>
    <row r="279">
      <c r="T279" s="136"/>
      <c r="X279" s="52"/>
      <c r="AE279" s="52"/>
      <c r="AF279" s="52"/>
      <c r="AG279" s="52"/>
      <c r="AU279" s="108"/>
      <c r="AW279" s="108"/>
      <c r="BB279" s="108"/>
      <c r="BC279" s="108"/>
    </row>
    <row r="280">
      <c r="T280" s="136"/>
      <c r="X280" s="52"/>
      <c r="AE280" s="52"/>
      <c r="AF280" s="52"/>
      <c r="AG280" s="52"/>
      <c r="AU280" s="108"/>
      <c r="AW280" s="108"/>
      <c r="BB280" s="108"/>
      <c r="BC280" s="108"/>
    </row>
    <row r="281">
      <c r="T281" s="136"/>
      <c r="X281" s="52"/>
      <c r="AE281" s="52"/>
      <c r="AF281" s="52"/>
      <c r="AG281" s="52"/>
      <c r="AU281" s="108"/>
      <c r="AW281" s="108"/>
      <c r="BB281" s="108"/>
      <c r="BC281" s="108"/>
    </row>
    <row r="282">
      <c r="T282" s="136"/>
      <c r="X282" s="52"/>
      <c r="AE282" s="52"/>
      <c r="AF282" s="52"/>
      <c r="AG282" s="52"/>
      <c r="AU282" s="108"/>
      <c r="AW282" s="108"/>
      <c r="BB282" s="108"/>
      <c r="BC282" s="108"/>
    </row>
    <row r="283">
      <c r="T283" s="136"/>
      <c r="X283" s="52"/>
      <c r="AE283" s="52"/>
      <c r="AF283" s="52"/>
      <c r="AG283" s="52"/>
      <c r="AU283" s="108"/>
      <c r="AW283" s="108"/>
      <c r="BB283" s="108"/>
      <c r="BC283" s="108"/>
    </row>
    <row r="284">
      <c r="T284" s="136"/>
      <c r="X284" s="52"/>
      <c r="AE284" s="52"/>
      <c r="AF284" s="52"/>
      <c r="AG284" s="52"/>
      <c r="AU284" s="108"/>
      <c r="AW284" s="108"/>
      <c r="BB284" s="108"/>
      <c r="BC284" s="108"/>
    </row>
    <row r="285">
      <c r="T285" s="136"/>
      <c r="X285" s="52"/>
      <c r="AE285" s="52"/>
      <c r="AF285" s="52"/>
      <c r="AG285" s="52"/>
      <c r="AU285" s="108"/>
      <c r="AW285" s="108"/>
      <c r="BB285" s="108"/>
      <c r="BC285" s="108"/>
    </row>
    <row r="286">
      <c r="T286" s="136"/>
      <c r="X286" s="52"/>
      <c r="AE286" s="52"/>
      <c r="AF286" s="52"/>
      <c r="AG286" s="52"/>
      <c r="AU286" s="108"/>
      <c r="AW286" s="108"/>
      <c r="BB286" s="108"/>
      <c r="BC286" s="108"/>
    </row>
    <row r="287">
      <c r="T287" s="136"/>
      <c r="X287" s="52"/>
      <c r="AE287" s="52"/>
      <c r="AF287" s="52"/>
      <c r="AG287" s="52"/>
      <c r="AU287" s="108"/>
      <c r="AW287" s="108"/>
      <c r="BB287" s="108"/>
      <c r="BC287" s="108"/>
    </row>
    <row r="288">
      <c r="T288" s="136"/>
      <c r="X288" s="52"/>
      <c r="AE288" s="52"/>
      <c r="AF288" s="52"/>
      <c r="AG288" s="52"/>
      <c r="AU288" s="108"/>
      <c r="AW288" s="108"/>
      <c r="BB288" s="108"/>
      <c r="BC288" s="108"/>
    </row>
    <row r="289">
      <c r="T289" s="136"/>
      <c r="X289" s="52"/>
      <c r="AE289" s="52"/>
      <c r="AF289" s="52"/>
      <c r="AG289" s="52"/>
      <c r="AU289" s="108"/>
      <c r="AW289" s="108"/>
      <c r="BB289" s="108"/>
      <c r="BC289" s="108"/>
    </row>
    <row r="290">
      <c r="T290" s="136"/>
      <c r="X290" s="52"/>
      <c r="AE290" s="52"/>
      <c r="AF290" s="52"/>
      <c r="AG290" s="52"/>
      <c r="AU290" s="108"/>
      <c r="AW290" s="108"/>
      <c r="BB290" s="108"/>
      <c r="BC290" s="108"/>
    </row>
    <row r="291">
      <c r="T291" s="136"/>
      <c r="X291" s="52"/>
      <c r="AE291" s="52"/>
      <c r="AF291" s="52"/>
      <c r="AG291" s="52"/>
      <c r="AU291" s="108"/>
      <c r="AW291" s="108"/>
      <c r="BB291" s="108"/>
      <c r="BC291" s="108"/>
    </row>
    <row r="292">
      <c r="T292" s="136"/>
      <c r="X292" s="52"/>
      <c r="AE292" s="52"/>
      <c r="AF292" s="52"/>
      <c r="AG292" s="52"/>
      <c r="AU292" s="108"/>
      <c r="AW292" s="108"/>
      <c r="BB292" s="108"/>
      <c r="BC292" s="108"/>
    </row>
    <row r="293">
      <c r="T293" s="136"/>
      <c r="X293" s="52"/>
      <c r="AE293" s="52"/>
      <c r="AF293" s="52"/>
      <c r="AG293" s="52"/>
      <c r="AU293" s="108"/>
      <c r="AW293" s="108"/>
      <c r="BB293" s="108"/>
      <c r="BC293" s="108"/>
    </row>
    <row r="294">
      <c r="T294" s="136"/>
      <c r="X294" s="52"/>
      <c r="AE294" s="52"/>
      <c r="AF294" s="52"/>
      <c r="AG294" s="52"/>
      <c r="AU294" s="108"/>
      <c r="AW294" s="108"/>
      <c r="BB294" s="108"/>
      <c r="BC294" s="108"/>
    </row>
    <row r="295">
      <c r="T295" s="136"/>
      <c r="X295" s="52"/>
      <c r="AE295" s="52"/>
      <c r="AF295" s="52"/>
      <c r="AG295" s="52"/>
      <c r="AU295" s="108"/>
      <c r="AW295" s="108"/>
      <c r="BB295" s="108"/>
      <c r="BC295" s="108"/>
    </row>
    <row r="296">
      <c r="T296" s="136"/>
      <c r="X296" s="52"/>
      <c r="AE296" s="52"/>
      <c r="AF296" s="52"/>
      <c r="AG296" s="52"/>
      <c r="AU296" s="108"/>
      <c r="AW296" s="108"/>
      <c r="BB296" s="108"/>
      <c r="BC296" s="108"/>
    </row>
    <row r="297">
      <c r="T297" s="136"/>
      <c r="X297" s="52"/>
      <c r="AE297" s="52"/>
      <c r="AF297" s="52"/>
      <c r="AG297" s="52"/>
      <c r="AU297" s="108"/>
      <c r="AW297" s="108"/>
      <c r="BB297" s="108"/>
      <c r="BC297" s="108"/>
    </row>
    <row r="298">
      <c r="T298" s="136"/>
      <c r="X298" s="52"/>
      <c r="AE298" s="52"/>
      <c r="AF298" s="52"/>
      <c r="AG298" s="52"/>
      <c r="AU298" s="108"/>
      <c r="AW298" s="108"/>
      <c r="BB298" s="108"/>
      <c r="BC298" s="108"/>
    </row>
    <row r="299">
      <c r="T299" s="136"/>
      <c r="X299" s="52"/>
      <c r="AE299" s="52"/>
      <c r="AF299" s="52"/>
      <c r="AG299" s="52"/>
      <c r="AU299" s="108"/>
      <c r="AW299" s="108"/>
      <c r="BB299" s="108"/>
      <c r="BC299" s="108"/>
    </row>
    <row r="300">
      <c r="T300" s="136"/>
      <c r="X300" s="52"/>
      <c r="AE300" s="52"/>
      <c r="AF300" s="52"/>
      <c r="AG300" s="52"/>
      <c r="AU300" s="108"/>
      <c r="AW300" s="108"/>
      <c r="BB300" s="108"/>
      <c r="BC300" s="108"/>
    </row>
    <row r="301">
      <c r="T301" s="136"/>
      <c r="X301" s="52"/>
      <c r="AE301" s="52"/>
      <c r="AF301" s="52"/>
      <c r="AG301" s="52"/>
      <c r="AU301" s="108"/>
      <c r="AW301" s="108"/>
      <c r="BB301" s="108"/>
      <c r="BC301" s="108"/>
    </row>
    <row r="302">
      <c r="T302" s="136"/>
      <c r="X302" s="52"/>
      <c r="AE302" s="52"/>
      <c r="AF302" s="52"/>
      <c r="AG302" s="52"/>
      <c r="AU302" s="108"/>
      <c r="AW302" s="108"/>
      <c r="BB302" s="108"/>
      <c r="BC302" s="108"/>
    </row>
    <row r="303">
      <c r="T303" s="136"/>
      <c r="X303" s="52"/>
      <c r="AE303" s="52"/>
      <c r="AF303" s="52"/>
      <c r="AG303" s="52"/>
      <c r="AU303" s="108"/>
      <c r="AW303" s="108"/>
      <c r="BB303" s="108"/>
      <c r="BC303" s="108"/>
    </row>
    <row r="304">
      <c r="T304" s="136"/>
      <c r="X304" s="52"/>
      <c r="AE304" s="52"/>
      <c r="AF304" s="52"/>
      <c r="AG304" s="52"/>
      <c r="AU304" s="108"/>
      <c r="AW304" s="108"/>
      <c r="BB304" s="108"/>
      <c r="BC304" s="108"/>
    </row>
    <row r="305">
      <c r="T305" s="136"/>
      <c r="X305" s="52"/>
      <c r="AE305" s="52"/>
      <c r="AF305" s="52"/>
      <c r="AG305" s="52"/>
      <c r="AU305" s="108"/>
      <c r="AW305" s="108"/>
      <c r="BB305" s="108"/>
      <c r="BC305" s="108"/>
    </row>
    <row r="306">
      <c r="T306" s="136"/>
      <c r="X306" s="52"/>
      <c r="AE306" s="52"/>
      <c r="AF306" s="52"/>
      <c r="AG306" s="52"/>
      <c r="AU306" s="108"/>
      <c r="AW306" s="108"/>
      <c r="BB306" s="108"/>
      <c r="BC306" s="108"/>
    </row>
    <row r="307">
      <c r="T307" s="136"/>
      <c r="X307" s="52"/>
      <c r="AE307" s="52"/>
      <c r="AF307" s="52"/>
      <c r="AG307" s="52"/>
      <c r="AU307" s="108"/>
      <c r="AW307" s="108"/>
      <c r="BB307" s="108"/>
      <c r="BC307" s="108"/>
    </row>
    <row r="308">
      <c r="T308" s="136"/>
      <c r="X308" s="52"/>
      <c r="AE308" s="52"/>
      <c r="AF308" s="52"/>
      <c r="AG308" s="52"/>
      <c r="AU308" s="108"/>
      <c r="AW308" s="108"/>
      <c r="BB308" s="108"/>
      <c r="BC308" s="108"/>
    </row>
    <row r="309">
      <c r="T309" s="136"/>
      <c r="X309" s="52"/>
      <c r="AE309" s="52"/>
      <c r="AF309" s="52"/>
      <c r="AG309" s="52"/>
      <c r="AU309" s="108"/>
      <c r="AW309" s="108"/>
      <c r="BB309" s="108"/>
      <c r="BC309" s="108"/>
    </row>
    <row r="310">
      <c r="T310" s="136"/>
      <c r="X310" s="52"/>
      <c r="AE310" s="52"/>
      <c r="AF310" s="52"/>
      <c r="AG310" s="52"/>
      <c r="AU310" s="108"/>
      <c r="AW310" s="108"/>
      <c r="BB310" s="108"/>
      <c r="BC310" s="108"/>
    </row>
    <row r="311">
      <c r="T311" s="136"/>
      <c r="X311" s="52"/>
      <c r="AE311" s="52"/>
      <c r="AF311" s="52"/>
      <c r="AG311" s="52"/>
      <c r="AU311" s="108"/>
      <c r="AW311" s="108"/>
      <c r="BB311" s="108"/>
      <c r="BC311" s="108"/>
    </row>
    <row r="312">
      <c r="T312" s="136"/>
      <c r="X312" s="52"/>
      <c r="AE312" s="52"/>
      <c r="AF312" s="52"/>
      <c r="AG312" s="52"/>
      <c r="AU312" s="108"/>
      <c r="AW312" s="108"/>
      <c r="BB312" s="108"/>
      <c r="BC312" s="108"/>
    </row>
    <row r="313">
      <c r="T313" s="136"/>
      <c r="X313" s="52"/>
      <c r="AE313" s="52"/>
      <c r="AF313" s="52"/>
      <c r="AG313" s="52"/>
      <c r="AU313" s="108"/>
      <c r="AW313" s="108"/>
      <c r="BB313" s="108"/>
      <c r="BC313" s="108"/>
    </row>
    <row r="314">
      <c r="T314" s="136"/>
      <c r="X314" s="52"/>
      <c r="AE314" s="52"/>
      <c r="AF314" s="52"/>
      <c r="AG314" s="52"/>
      <c r="AU314" s="108"/>
      <c r="AW314" s="108"/>
      <c r="BB314" s="108"/>
      <c r="BC314" s="108"/>
    </row>
    <row r="315">
      <c r="T315" s="136"/>
      <c r="X315" s="52"/>
      <c r="AE315" s="52"/>
      <c r="AF315" s="52"/>
      <c r="AG315" s="52"/>
      <c r="AU315" s="108"/>
      <c r="AW315" s="108"/>
      <c r="BB315" s="108"/>
      <c r="BC315" s="108"/>
    </row>
    <row r="316">
      <c r="T316" s="136"/>
      <c r="X316" s="52"/>
      <c r="AE316" s="52"/>
      <c r="AF316" s="52"/>
      <c r="AG316" s="52"/>
      <c r="AU316" s="108"/>
      <c r="AW316" s="108"/>
      <c r="BB316" s="108"/>
      <c r="BC316" s="108"/>
    </row>
    <row r="317">
      <c r="T317" s="136"/>
      <c r="X317" s="52"/>
      <c r="AE317" s="52"/>
      <c r="AF317" s="52"/>
      <c r="AG317" s="52"/>
      <c r="AU317" s="108"/>
      <c r="AW317" s="108"/>
      <c r="BB317" s="108"/>
      <c r="BC317" s="108"/>
    </row>
    <row r="318">
      <c r="T318" s="136"/>
      <c r="X318" s="52"/>
      <c r="AE318" s="52"/>
      <c r="AF318" s="52"/>
      <c r="AG318" s="52"/>
      <c r="AU318" s="108"/>
      <c r="AW318" s="108"/>
      <c r="BB318" s="108"/>
      <c r="BC318" s="108"/>
    </row>
    <row r="319">
      <c r="T319" s="136"/>
      <c r="X319" s="52"/>
      <c r="AE319" s="52"/>
      <c r="AF319" s="52"/>
      <c r="AG319" s="52"/>
      <c r="AU319" s="108"/>
      <c r="AW319" s="108"/>
      <c r="BB319" s="108"/>
      <c r="BC319" s="108"/>
    </row>
    <row r="320">
      <c r="T320" s="136"/>
      <c r="X320" s="52"/>
      <c r="AE320" s="52"/>
      <c r="AF320" s="52"/>
      <c r="AG320" s="52"/>
      <c r="AU320" s="108"/>
      <c r="AW320" s="108"/>
      <c r="BB320" s="108"/>
      <c r="BC320" s="108"/>
    </row>
    <row r="321">
      <c r="T321" s="136"/>
      <c r="X321" s="52"/>
      <c r="AE321" s="52"/>
      <c r="AF321" s="52"/>
      <c r="AG321" s="52"/>
      <c r="AU321" s="108"/>
      <c r="AW321" s="108"/>
      <c r="BB321" s="108"/>
      <c r="BC321" s="108"/>
    </row>
    <row r="322">
      <c r="T322" s="136"/>
      <c r="X322" s="52"/>
      <c r="AE322" s="52"/>
      <c r="AF322" s="52"/>
      <c r="AG322" s="52"/>
      <c r="AU322" s="108"/>
      <c r="AW322" s="108"/>
      <c r="BB322" s="108"/>
      <c r="BC322" s="108"/>
    </row>
    <row r="323">
      <c r="T323" s="136"/>
      <c r="X323" s="52"/>
      <c r="AE323" s="52"/>
      <c r="AF323" s="52"/>
      <c r="AG323" s="52"/>
      <c r="AU323" s="108"/>
      <c r="AW323" s="108"/>
      <c r="BB323" s="108"/>
      <c r="BC323" s="108"/>
    </row>
    <row r="324">
      <c r="T324" s="136"/>
      <c r="X324" s="52"/>
      <c r="AE324" s="52"/>
      <c r="AF324" s="52"/>
      <c r="AG324" s="52"/>
      <c r="AU324" s="108"/>
      <c r="AW324" s="108"/>
      <c r="BB324" s="108"/>
      <c r="BC324" s="108"/>
    </row>
    <row r="325">
      <c r="T325" s="136"/>
      <c r="X325" s="52"/>
      <c r="AE325" s="52"/>
      <c r="AF325" s="52"/>
      <c r="AG325" s="52"/>
      <c r="AU325" s="108"/>
      <c r="AW325" s="108"/>
      <c r="BB325" s="108"/>
      <c r="BC325" s="108"/>
    </row>
    <row r="326">
      <c r="T326" s="136"/>
      <c r="X326" s="52"/>
      <c r="AE326" s="52"/>
      <c r="AF326" s="52"/>
      <c r="AG326" s="52"/>
      <c r="AU326" s="108"/>
      <c r="AW326" s="108"/>
      <c r="BB326" s="108"/>
      <c r="BC326" s="108"/>
    </row>
    <row r="327">
      <c r="T327" s="136"/>
      <c r="X327" s="52"/>
      <c r="AE327" s="52"/>
      <c r="AF327" s="52"/>
      <c r="AG327" s="52"/>
      <c r="AU327" s="108"/>
      <c r="AW327" s="108"/>
      <c r="BB327" s="108"/>
      <c r="BC327" s="108"/>
    </row>
    <row r="328">
      <c r="T328" s="136"/>
      <c r="X328" s="52"/>
      <c r="AE328" s="52"/>
      <c r="AF328" s="52"/>
      <c r="AG328" s="52"/>
      <c r="AU328" s="108"/>
      <c r="AW328" s="108"/>
      <c r="BB328" s="108"/>
      <c r="BC328" s="108"/>
    </row>
    <row r="329">
      <c r="T329" s="136"/>
      <c r="X329" s="52"/>
      <c r="AE329" s="52"/>
      <c r="AF329" s="52"/>
      <c r="AG329" s="52"/>
      <c r="AU329" s="108"/>
      <c r="AW329" s="108"/>
      <c r="BB329" s="108"/>
      <c r="BC329" s="108"/>
    </row>
    <row r="330">
      <c r="T330" s="136"/>
      <c r="X330" s="52"/>
      <c r="AE330" s="52"/>
      <c r="AF330" s="52"/>
      <c r="AG330" s="52"/>
      <c r="AU330" s="108"/>
      <c r="AW330" s="108"/>
      <c r="BB330" s="108"/>
      <c r="BC330" s="108"/>
    </row>
    <row r="331">
      <c r="T331" s="136"/>
      <c r="X331" s="52"/>
      <c r="AE331" s="52"/>
      <c r="AF331" s="52"/>
      <c r="AG331" s="52"/>
      <c r="AU331" s="108"/>
      <c r="AW331" s="108"/>
      <c r="BB331" s="108"/>
      <c r="BC331" s="108"/>
    </row>
    <row r="332">
      <c r="T332" s="136"/>
      <c r="X332" s="52"/>
      <c r="AE332" s="52"/>
      <c r="AF332" s="52"/>
      <c r="AG332" s="52"/>
      <c r="AU332" s="108"/>
      <c r="AW332" s="108"/>
      <c r="BB332" s="108"/>
      <c r="BC332" s="108"/>
    </row>
    <row r="333">
      <c r="T333" s="136"/>
      <c r="X333" s="52"/>
      <c r="AE333" s="52"/>
      <c r="AF333" s="52"/>
      <c r="AG333" s="52"/>
      <c r="AU333" s="108"/>
      <c r="AW333" s="108"/>
      <c r="BB333" s="108"/>
      <c r="BC333" s="108"/>
    </row>
    <row r="334">
      <c r="T334" s="136"/>
      <c r="X334" s="52"/>
      <c r="AE334" s="52"/>
      <c r="AF334" s="52"/>
      <c r="AG334" s="52"/>
      <c r="AU334" s="108"/>
      <c r="AW334" s="108"/>
      <c r="BB334" s="108"/>
      <c r="BC334" s="108"/>
    </row>
    <row r="335">
      <c r="T335" s="136"/>
      <c r="X335" s="52"/>
      <c r="AE335" s="52"/>
      <c r="AF335" s="52"/>
      <c r="AG335" s="52"/>
      <c r="AU335" s="108"/>
      <c r="AW335" s="108"/>
      <c r="BB335" s="108"/>
      <c r="BC335" s="108"/>
    </row>
    <row r="336">
      <c r="T336" s="136"/>
      <c r="X336" s="52"/>
      <c r="AE336" s="52"/>
      <c r="AF336" s="52"/>
      <c r="AG336" s="52"/>
      <c r="AU336" s="108"/>
      <c r="AW336" s="108"/>
      <c r="BB336" s="108"/>
      <c r="BC336" s="108"/>
    </row>
    <row r="337">
      <c r="T337" s="136"/>
      <c r="X337" s="52"/>
      <c r="AE337" s="52"/>
      <c r="AF337" s="52"/>
      <c r="AG337" s="52"/>
      <c r="AU337" s="108"/>
      <c r="AW337" s="108"/>
      <c r="BB337" s="108"/>
      <c r="BC337" s="108"/>
    </row>
    <row r="338">
      <c r="T338" s="136"/>
      <c r="X338" s="52"/>
      <c r="AE338" s="52"/>
      <c r="AF338" s="52"/>
      <c r="AG338" s="52"/>
      <c r="AU338" s="108"/>
      <c r="AW338" s="108"/>
      <c r="BB338" s="108"/>
      <c r="BC338" s="108"/>
    </row>
    <row r="339">
      <c r="T339" s="136"/>
      <c r="X339" s="52"/>
      <c r="AE339" s="52"/>
      <c r="AF339" s="52"/>
      <c r="AG339" s="52"/>
      <c r="AU339" s="108"/>
      <c r="AW339" s="108"/>
      <c r="BB339" s="108"/>
      <c r="BC339" s="108"/>
    </row>
    <row r="340">
      <c r="T340" s="136"/>
      <c r="X340" s="52"/>
      <c r="AE340" s="52"/>
      <c r="AF340" s="52"/>
      <c r="AG340" s="52"/>
      <c r="AU340" s="108"/>
      <c r="AW340" s="108"/>
      <c r="BB340" s="108"/>
      <c r="BC340" s="108"/>
    </row>
    <row r="341">
      <c r="T341" s="136"/>
      <c r="X341" s="52"/>
      <c r="AE341" s="52"/>
      <c r="AF341" s="52"/>
      <c r="AG341" s="52"/>
      <c r="AU341" s="108"/>
      <c r="AW341" s="108"/>
      <c r="BB341" s="108"/>
      <c r="BC341" s="108"/>
    </row>
    <row r="342">
      <c r="T342" s="136"/>
      <c r="X342" s="52"/>
      <c r="AE342" s="52"/>
      <c r="AF342" s="52"/>
      <c r="AG342" s="52"/>
      <c r="AU342" s="108"/>
      <c r="AW342" s="108"/>
      <c r="BB342" s="108"/>
      <c r="BC342" s="108"/>
    </row>
    <row r="343">
      <c r="T343" s="136"/>
      <c r="X343" s="52"/>
      <c r="AE343" s="52"/>
      <c r="AF343" s="52"/>
      <c r="AG343" s="52"/>
      <c r="AU343" s="108"/>
      <c r="AW343" s="108"/>
      <c r="BB343" s="108"/>
      <c r="BC343" s="108"/>
    </row>
    <row r="344">
      <c r="T344" s="136"/>
      <c r="X344" s="52"/>
      <c r="AE344" s="52"/>
      <c r="AF344" s="52"/>
      <c r="AG344" s="52"/>
      <c r="AU344" s="108"/>
      <c r="AW344" s="108"/>
      <c r="BB344" s="108"/>
      <c r="BC344" s="108"/>
    </row>
    <row r="345">
      <c r="T345" s="136"/>
      <c r="X345" s="52"/>
      <c r="AE345" s="52"/>
      <c r="AF345" s="52"/>
      <c r="AG345" s="52"/>
      <c r="AU345" s="108"/>
      <c r="AW345" s="108"/>
      <c r="BB345" s="108"/>
      <c r="BC345" s="108"/>
    </row>
    <row r="346">
      <c r="T346" s="136"/>
      <c r="X346" s="52"/>
      <c r="AE346" s="52"/>
      <c r="AF346" s="52"/>
      <c r="AG346" s="52"/>
      <c r="AU346" s="108"/>
      <c r="AW346" s="108"/>
      <c r="BB346" s="108"/>
      <c r="BC346" s="108"/>
    </row>
    <row r="347">
      <c r="T347" s="136"/>
      <c r="X347" s="52"/>
      <c r="AE347" s="52"/>
      <c r="AF347" s="52"/>
      <c r="AG347" s="52"/>
      <c r="AU347" s="108"/>
      <c r="AW347" s="108"/>
      <c r="BB347" s="108"/>
      <c r="BC347" s="108"/>
    </row>
    <row r="348">
      <c r="T348" s="136"/>
      <c r="X348" s="52"/>
      <c r="AE348" s="52"/>
      <c r="AF348" s="52"/>
      <c r="AG348" s="52"/>
      <c r="AU348" s="108"/>
      <c r="AW348" s="108"/>
      <c r="BB348" s="108"/>
      <c r="BC348" s="108"/>
    </row>
    <row r="349">
      <c r="T349" s="136"/>
      <c r="X349" s="52"/>
      <c r="AE349" s="52"/>
      <c r="AF349" s="52"/>
      <c r="AG349" s="52"/>
      <c r="AU349" s="108"/>
      <c r="AW349" s="108"/>
      <c r="BB349" s="108"/>
      <c r="BC349" s="108"/>
    </row>
    <row r="350">
      <c r="T350" s="136"/>
      <c r="X350" s="52"/>
      <c r="AE350" s="52"/>
      <c r="AF350" s="52"/>
      <c r="AG350" s="52"/>
      <c r="AU350" s="108"/>
      <c r="AW350" s="108"/>
      <c r="BB350" s="108"/>
      <c r="BC350" s="108"/>
    </row>
    <row r="351">
      <c r="T351" s="136"/>
      <c r="X351" s="52"/>
      <c r="AE351" s="52"/>
      <c r="AF351" s="52"/>
      <c r="AG351" s="52"/>
      <c r="AU351" s="108"/>
      <c r="AW351" s="108"/>
      <c r="BB351" s="108"/>
      <c r="BC351" s="108"/>
    </row>
    <row r="352">
      <c r="T352" s="136"/>
      <c r="X352" s="52"/>
      <c r="AE352" s="52"/>
      <c r="AF352" s="52"/>
      <c r="AG352" s="52"/>
      <c r="AU352" s="108"/>
      <c r="AW352" s="108"/>
      <c r="BB352" s="108"/>
      <c r="BC352" s="108"/>
    </row>
    <row r="353">
      <c r="T353" s="136"/>
      <c r="X353" s="52"/>
      <c r="AE353" s="52"/>
      <c r="AF353" s="52"/>
      <c r="AG353" s="52"/>
      <c r="AU353" s="108"/>
      <c r="AW353" s="108"/>
      <c r="BB353" s="108"/>
      <c r="BC353" s="108"/>
    </row>
    <row r="354">
      <c r="T354" s="136"/>
      <c r="X354" s="52"/>
      <c r="AE354" s="52"/>
      <c r="AF354" s="52"/>
      <c r="AG354" s="52"/>
      <c r="AU354" s="108"/>
      <c r="AW354" s="108"/>
      <c r="BB354" s="108"/>
      <c r="BC354" s="108"/>
    </row>
    <row r="355">
      <c r="T355" s="136"/>
      <c r="X355" s="52"/>
      <c r="AE355" s="52"/>
      <c r="AF355" s="52"/>
      <c r="AG355" s="52"/>
      <c r="AU355" s="108"/>
      <c r="AW355" s="108"/>
      <c r="BB355" s="108"/>
      <c r="BC355" s="108"/>
    </row>
    <row r="356">
      <c r="T356" s="136"/>
      <c r="X356" s="52"/>
      <c r="AE356" s="52"/>
      <c r="AF356" s="52"/>
      <c r="AG356" s="52"/>
      <c r="AU356" s="108"/>
      <c r="AW356" s="108"/>
      <c r="BB356" s="108"/>
      <c r="BC356" s="108"/>
    </row>
    <row r="357">
      <c r="T357" s="136"/>
      <c r="X357" s="52"/>
      <c r="AE357" s="52"/>
      <c r="AF357" s="52"/>
      <c r="AG357" s="52"/>
      <c r="AU357" s="108"/>
      <c r="AW357" s="108"/>
      <c r="BB357" s="108"/>
      <c r="BC357" s="108"/>
    </row>
    <row r="358">
      <c r="T358" s="136"/>
      <c r="X358" s="52"/>
      <c r="AE358" s="52"/>
      <c r="AF358" s="52"/>
      <c r="AG358" s="52"/>
      <c r="AU358" s="108"/>
      <c r="AW358" s="108"/>
      <c r="BB358" s="108"/>
      <c r="BC358" s="108"/>
    </row>
    <row r="359">
      <c r="T359" s="136"/>
      <c r="X359" s="52"/>
      <c r="AE359" s="52"/>
      <c r="AF359" s="52"/>
      <c r="AG359" s="52"/>
      <c r="AU359" s="108"/>
      <c r="AW359" s="108"/>
      <c r="BB359" s="108"/>
      <c r="BC359" s="108"/>
    </row>
    <row r="360">
      <c r="T360" s="136"/>
      <c r="X360" s="52"/>
      <c r="AE360" s="52"/>
      <c r="AF360" s="52"/>
      <c r="AG360" s="52"/>
      <c r="AU360" s="108"/>
      <c r="AW360" s="108"/>
      <c r="BB360" s="108"/>
      <c r="BC360" s="108"/>
    </row>
    <row r="361">
      <c r="T361" s="136"/>
      <c r="X361" s="52"/>
      <c r="AE361" s="52"/>
      <c r="AF361" s="52"/>
      <c r="AG361" s="52"/>
      <c r="AU361" s="108"/>
      <c r="AW361" s="108"/>
      <c r="BB361" s="108"/>
      <c r="BC361" s="108"/>
    </row>
    <row r="362">
      <c r="T362" s="136"/>
      <c r="X362" s="52"/>
      <c r="AE362" s="52"/>
      <c r="AF362" s="52"/>
      <c r="AG362" s="52"/>
      <c r="AU362" s="108"/>
      <c r="AW362" s="108"/>
      <c r="BB362" s="108"/>
      <c r="BC362" s="108"/>
    </row>
    <row r="363">
      <c r="T363" s="136"/>
      <c r="X363" s="52"/>
      <c r="AE363" s="52"/>
      <c r="AF363" s="52"/>
      <c r="AG363" s="52"/>
      <c r="AU363" s="108"/>
      <c r="AW363" s="108"/>
      <c r="BB363" s="108"/>
      <c r="BC363" s="108"/>
    </row>
    <row r="364">
      <c r="T364" s="136"/>
      <c r="X364" s="52"/>
      <c r="AE364" s="52"/>
      <c r="AF364" s="52"/>
      <c r="AG364" s="52"/>
      <c r="AU364" s="108"/>
      <c r="AW364" s="108"/>
      <c r="BB364" s="108"/>
      <c r="BC364" s="108"/>
    </row>
    <row r="365">
      <c r="T365" s="136"/>
      <c r="X365" s="52"/>
      <c r="AE365" s="52"/>
      <c r="AF365" s="52"/>
      <c r="AG365" s="52"/>
      <c r="AU365" s="108"/>
      <c r="AW365" s="108"/>
      <c r="BB365" s="108"/>
      <c r="BC365" s="108"/>
    </row>
    <row r="366">
      <c r="T366" s="136"/>
      <c r="X366" s="52"/>
      <c r="AE366" s="52"/>
      <c r="AF366" s="52"/>
      <c r="AG366" s="52"/>
      <c r="AU366" s="108"/>
      <c r="AW366" s="108"/>
      <c r="BB366" s="108"/>
      <c r="BC366" s="108"/>
    </row>
    <row r="367">
      <c r="T367" s="136"/>
      <c r="X367" s="52"/>
      <c r="AE367" s="52"/>
      <c r="AF367" s="52"/>
      <c r="AG367" s="52"/>
      <c r="AU367" s="108"/>
      <c r="AW367" s="108"/>
      <c r="BB367" s="108"/>
      <c r="BC367" s="108"/>
    </row>
    <row r="368">
      <c r="T368" s="136"/>
      <c r="X368" s="52"/>
      <c r="AE368" s="52"/>
      <c r="AF368" s="52"/>
      <c r="AG368" s="52"/>
      <c r="AU368" s="108"/>
      <c r="AW368" s="108"/>
      <c r="BB368" s="108"/>
      <c r="BC368" s="108"/>
    </row>
    <row r="369">
      <c r="T369" s="136"/>
      <c r="X369" s="52"/>
      <c r="AE369" s="52"/>
      <c r="AF369" s="52"/>
      <c r="AG369" s="52"/>
      <c r="AU369" s="108"/>
      <c r="AW369" s="108"/>
      <c r="BB369" s="108"/>
      <c r="BC369" s="108"/>
    </row>
    <row r="370">
      <c r="T370" s="136"/>
      <c r="X370" s="52"/>
      <c r="AE370" s="52"/>
      <c r="AF370" s="52"/>
      <c r="AG370" s="52"/>
      <c r="AU370" s="108"/>
      <c r="AW370" s="108"/>
      <c r="BB370" s="108"/>
      <c r="BC370" s="108"/>
    </row>
    <row r="371">
      <c r="T371" s="136"/>
      <c r="X371" s="52"/>
      <c r="AE371" s="52"/>
      <c r="AF371" s="52"/>
      <c r="AG371" s="52"/>
      <c r="AU371" s="108"/>
      <c r="AW371" s="108"/>
      <c r="BB371" s="108"/>
      <c r="BC371" s="108"/>
    </row>
    <row r="372">
      <c r="T372" s="136"/>
      <c r="X372" s="52"/>
      <c r="AE372" s="52"/>
      <c r="AF372" s="52"/>
      <c r="AG372" s="52"/>
      <c r="AU372" s="108"/>
      <c r="AW372" s="108"/>
      <c r="BB372" s="108"/>
      <c r="BC372" s="108"/>
    </row>
    <row r="373">
      <c r="T373" s="136"/>
      <c r="X373" s="52"/>
      <c r="AE373" s="52"/>
      <c r="AF373" s="52"/>
      <c r="AG373" s="52"/>
      <c r="AU373" s="108"/>
      <c r="AW373" s="108"/>
      <c r="BB373" s="108"/>
      <c r="BC373" s="108"/>
    </row>
    <row r="374">
      <c r="T374" s="136"/>
      <c r="X374" s="52"/>
      <c r="AE374" s="52"/>
      <c r="AF374" s="52"/>
      <c r="AG374" s="52"/>
      <c r="AU374" s="108"/>
      <c r="AW374" s="108"/>
      <c r="BB374" s="108"/>
      <c r="BC374" s="108"/>
    </row>
    <row r="375">
      <c r="T375" s="136"/>
      <c r="X375" s="52"/>
      <c r="AE375" s="52"/>
      <c r="AF375" s="52"/>
      <c r="AG375" s="52"/>
      <c r="AU375" s="108"/>
      <c r="AW375" s="108"/>
      <c r="BB375" s="108"/>
      <c r="BC375" s="108"/>
    </row>
    <row r="376">
      <c r="T376" s="136"/>
      <c r="X376" s="52"/>
      <c r="AE376" s="52"/>
      <c r="AF376" s="52"/>
      <c r="AG376" s="52"/>
      <c r="AU376" s="108"/>
      <c r="AW376" s="108"/>
      <c r="BB376" s="108"/>
      <c r="BC376" s="108"/>
    </row>
    <row r="377">
      <c r="T377" s="136"/>
      <c r="X377" s="52"/>
      <c r="AE377" s="52"/>
      <c r="AF377" s="52"/>
      <c r="AG377" s="52"/>
      <c r="AU377" s="108"/>
      <c r="AW377" s="108"/>
      <c r="BB377" s="108"/>
      <c r="BC377" s="108"/>
    </row>
    <row r="378">
      <c r="T378" s="136"/>
      <c r="X378" s="52"/>
      <c r="AE378" s="52"/>
      <c r="AF378" s="52"/>
      <c r="AG378" s="52"/>
      <c r="AU378" s="108"/>
      <c r="AW378" s="108"/>
      <c r="BB378" s="108"/>
      <c r="BC378" s="108"/>
    </row>
    <row r="379">
      <c r="T379" s="136"/>
      <c r="X379" s="52"/>
      <c r="AE379" s="52"/>
      <c r="AF379" s="52"/>
      <c r="AG379" s="52"/>
      <c r="AU379" s="108"/>
      <c r="AW379" s="108"/>
      <c r="BB379" s="108"/>
      <c r="BC379" s="108"/>
    </row>
    <row r="380">
      <c r="T380" s="136"/>
      <c r="X380" s="52"/>
      <c r="AE380" s="52"/>
      <c r="AF380" s="52"/>
      <c r="AG380" s="52"/>
      <c r="AU380" s="108"/>
      <c r="AW380" s="108"/>
      <c r="BB380" s="108"/>
      <c r="BC380" s="108"/>
    </row>
    <row r="381">
      <c r="T381" s="136"/>
      <c r="X381" s="52"/>
      <c r="AE381" s="52"/>
      <c r="AF381" s="52"/>
      <c r="AG381" s="52"/>
      <c r="AU381" s="108"/>
      <c r="AW381" s="108"/>
      <c r="BB381" s="108"/>
      <c r="BC381" s="108"/>
    </row>
    <row r="382">
      <c r="T382" s="136"/>
      <c r="X382" s="52"/>
      <c r="AE382" s="52"/>
      <c r="AF382" s="52"/>
      <c r="AG382" s="52"/>
      <c r="AU382" s="108"/>
      <c r="AW382" s="108"/>
      <c r="BB382" s="108"/>
      <c r="BC382" s="108"/>
    </row>
    <row r="383">
      <c r="T383" s="136"/>
      <c r="X383" s="52"/>
      <c r="AE383" s="52"/>
      <c r="AF383" s="52"/>
      <c r="AG383" s="52"/>
      <c r="AU383" s="108"/>
      <c r="AW383" s="108"/>
      <c r="BB383" s="108"/>
      <c r="BC383" s="108"/>
    </row>
    <row r="384">
      <c r="T384" s="136"/>
      <c r="X384" s="52"/>
      <c r="AE384" s="52"/>
      <c r="AF384" s="52"/>
      <c r="AG384" s="52"/>
      <c r="AU384" s="108"/>
      <c r="AW384" s="108"/>
      <c r="BB384" s="108"/>
      <c r="BC384" s="108"/>
    </row>
    <row r="385">
      <c r="T385" s="136"/>
      <c r="X385" s="52"/>
      <c r="AE385" s="52"/>
      <c r="AF385" s="52"/>
      <c r="AG385" s="52"/>
      <c r="AU385" s="108"/>
      <c r="AW385" s="108"/>
      <c r="BB385" s="108"/>
      <c r="BC385" s="108"/>
    </row>
    <row r="386">
      <c r="T386" s="136"/>
      <c r="X386" s="52"/>
      <c r="AE386" s="52"/>
      <c r="AF386" s="52"/>
      <c r="AG386" s="52"/>
      <c r="AU386" s="108"/>
      <c r="AW386" s="108"/>
      <c r="BB386" s="108"/>
      <c r="BC386" s="108"/>
    </row>
    <row r="387">
      <c r="T387" s="136"/>
      <c r="X387" s="52"/>
      <c r="AE387" s="52"/>
      <c r="AF387" s="52"/>
      <c r="AG387" s="52"/>
      <c r="AU387" s="108"/>
      <c r="AW387" s="108"/>
      <c r="BB387" s="108"/>
      <c r="BC387" s="108"/>
    </row>
    <row r="388">
      <c r="T388" s="136"/>
      <c r="X388" s="52"/>
      <c r="AE388" s="52"/>
      <c r="AF388" s="52"/>
      <c r="AG388" s="52"/>
      <c r="AU388" s="108"/>
      <c r="AW388" s="108"/>
      <c r="BB388" s="108"/>
      <c r="BC388" s="108"/>
    </row>
    <row r="389">
      <c r="T389" s="136"/>
      <c r="X389" s="52"/>
      <c r="AE389" s="52"/>
      <c r="AF389" s="52"/>
      <c r="AG389" s="52"/>
      <c r="AU389" s="108"/>
      <c r="AW389" s="108"/>
      <c r="BB389" s="108"/>
      <c r="BC389" s="108"/>
    </row>
    <row r="390">
      <c r="T390" s="136"/>
      <c r="X390" s="52"/>
      <c r="AE390" s="52"/>
      <c r="AF390" s="52"/>
      <c r="AG390" s="52"/>
      <c r="AU390" s="108"/>
      <c r="AW390" s="108"/>
      <c r="BB390" s="108"/>
      <c r="BC390" s="108"/>
    </row>
    <row r="391">
      <c r="T391" s="136"/>
      <c r="X391" s="52"/>
      <c r="AE391" s="52"/>
      <c r="AF391" s="52"/>
      <c r="AG391" s="52"/>
      <c r="AU391" s="108"/>
      <c r="AW391" s="108"/>
      <c r="BB391" s="108"/>
      <c r="BC391" s="108"/>
    </row>
    <row r="392">
      <c r="T392" s="136"/>
      <c r="X392" s="52"/>
      <c r="AE392" s="52"/>
      <c r="AF392" s="52"/>
      <c r="AG392" s="52"/>
      <c r="AU392" s="108"/>
      <c r="AW392" s="108"/>
      <c r="BB392" s="108"/>
      <c r="BC392" s="108"/>
    </row>
    <row r="393">
      <c r="T393" s="136"/>
      <c r="X393" s="52"/>
      <c r="AE393" s="52"/>
      <c r="AF393" s="52"/>
      <c r="AG393" s="52"/>
      <c r="AU393" s="108"/>
      <c r="AW393" s="108"/>
      <c r="BB393" s="108"/>
      <c r="BC393" s="108"/>
    </row>
    <row r="394">
      <c r="T394" s="136"/>
      <c r="X394" s="52"/>
      <c r="AE394" s="52"/>
      <c r="AF394" s="52"/>
      <c r="AG394" s="52"/>
      <c r="AU394" s="108"/>
      <c r="AW394" s="108"/>
      <c r="BB394" s="108"/>
      <c r="BC394" s="108"/>
    </row>
    <row r="395">
      <c r="T395" s="136"/>
      <c r="X395" s="52"/>
      <c r="AE395" s="52"/>
      <c r="AF395" s="52"/>
      <c r="AG395" s="52"/>
      <c r="AU395" s="108"/>
      <c r="AW395" s="108"/>
      <c r="BB395" s="108"/>
      <c r="BC395" s="108"/>
    </row>
    <row r="396">
      <c r="T396" s="136"/>
      <c r="X396" s="52"/>
      <c r="AE396" s="52"/>
      <c r="AF396" s="52"/>
      <c r="AG396" s="52"/>
      <c r="AU396" s="108"/>
      <c r="AW396" s="108"/>
      <c r="BB396" s="108"/>
      <c r="BC396" s="108"/>
    </row>
    <row r="397">
      <c r="T397" s="136"/>
      <c r="X397" s="52"/>
      <c r="AE397" s="52"/>
      <c r="AF397" s="52"/>
      <c r="AG397" s="52"/>
      <c r="AU397" s="108"/>
      <c r="AW397" s="108"/>
      <c r="BB397" s="108"/>
      <c r="BC397" s="108"/>
    </row>
    <row r="398">
      <c r="T398" s="136"/>
      <c r="X398" s="52"/>
      <c r="AE398" s="52"/>
      <c r="AF398" s="52"/>
      <c r="AG398" s="52"/>
      <c r="AU398" s="108"/>
      <c r="AW398" s="108"/>
      <c r="BB398" s="108"/>
      <c r="BC398" s="108"/>
    </row>
    <row r="399">
      <c r="T399" s="136"/>
      <c r="X399" s="52"/>
      <c r="AE399" s="52"/>
      <c r="AF399" s="52"/>
      <c r="AG399" s="52"/>
      <c r="AU399" s="108"/>
      <c r="AW399" s="108"/>
      <c r="BB399" s="108"/>
      <c r="BC399" s="108"/>
    </row>
    <row r="400">
      <c r="T400" s="136"/>
      <c r="X400" s="52"/>
      <c r="AE400" s="52"/>
      <c r="AF400" s="52"/>
      <c r="AG400" s="52"/>
      <c r="AU400" s="108"/>
      <c r="AW400" s="108"/>
      <c r="BB400" s="108"/>
      <c r="BC400" s="108"/>
    </row>
    <row r="401">
      <c r="T401" s="136"/>
      <c r="X401" s="52"/>
      <c r="AE401" s="52"/>
      <c r="AF401" s="52"/>
      <c r="AG401" s="52"/>
      <c r="AU401" s="108"/>
      <c r="AW401" s="108"/>
      <c r="BB401" s="108"/>
      <c r="BC401" s="108"/>
    </row>
    <row r="402">
      <c r="T402" s="136"/>
      <c r="X402" s="52"/>
      <c r="AE402" s="52"/>
      <c r="AF402" s="52"/>
      <c r="AG402" s="52"/>
      <c r="AU402" s="108"/>
      <c r="AW402" s="108"/>
      <c r="BB402" s="108"/>
      <c r="BC402" s="108"/>
    </row>
    <row r="403">
      <c r="T403" s="136"/>
      <c r="X403" s="52"/>
      <c r="AE403" s="52"/>
      <c r="AF403" s="52"/>
      <c r="AG403" s="52"/>
      <c r="AU403" s="108"/>
      <c r="AW403" s="108"/>
      <c r="BB403" s="108"/>
      <c r="BC403" s="108"/>
    </row>
    <row r="404">
      <c r="T404" s="136"/>
      <c r="X404" s="52"/>
      <c r="AE404" s="52"/>
      <c r="AF404" s="52"/>
      <c r="AG404" s="52"/>
      <c r="AU404" s="108"/>
      <c r="AW404" s="108"/>
      <c r="BB404" s="108"/>
      <c r="BC404" s="108"/>
    </row>
    <row r="405">
      <c r="T405" s="136"/>
      <c r="X405" s="52"/>
      <c r="AE405" s="52"/>
      <c r="AF405" s="52"/>
      <c r="AG405" s="52"/>
      <c r="AU405" s="108"/>
      <c r="AW405" s="108"/>
      <c r="BB405" s="108"/>
      <c r="BC405" s="108"/>
    </row>
    <row r="406">
      <c r="T406" s="136"/>
      <c r="X406" s="52"/>
      <c r="AE406" s="52"/>
      <c r="AF406" s="52"/>
      <c r="AG406" s="52"/>
      <c r="AU406" s="108"/>
      <c r="AW406" s="108"/>
      <c r="BB406" s="108"/>
      <c r="BC406" s="108"/>
    </row>
    <row r="407">
      <c r="T407" s="136"/>
      <c r="X407" s="52"/>
      <c r="AE407" s="52"/>
      <c r="AF407" s="52"/>
      <c r="AG407" s="52"/>
      <c r="AU407" s="108"/>
      <c r="AW407" s="108"/>
      <c r="BB407" s="108"/>
      <c r="BC407" s="108"/>
    </row>
    <row r="408">
      <c r="T408" s="136"/>
      <c r="X408" s="52"/>
      <c r="AE408" s="52"/>
      <c r="AF408" s="52"/>
      <c r="AG408" s="52"/>
      <c r="AU408" s="108"/>
      <c r="AW408" s="108"/>
      <c r="BB408" s="108"/>
      <c r="BC408" s="108"/>
    </row>
    <row r="409">
      <c r="T409" s="136"/>
      <c r="X409" s="52"/>
      <c r="AE409" s="52"/>
      <c r="AF409" s="52"/>
      <c r="AG409" s="52"/>
      <c r="AU409" s="108"/>
      <c r="AW409" s="108"/>
      <c r="BB409" s="108"/>
      <c r="BC409" s="108"/>
    </row>
    <row r="410">
      <c r="T410" s="136"/>
      <c r="X410" s="52"/>
      <c r="AE410" s="52"/>
      <c r="AF410" s="52"/>
      <c r="AG410" s="52"/>
      <c r="AU410" s="108"/>
      <c r="AW410" s="108"/>
      <c r="BB410" s="108"/>
      <c r="BC410" s="108"/>
    </row>
    <row r="411">
      <c r="T411" s="136"/>
      <c r="X411" s="52"/>
      <c r="AE411" s="52"/>
      <c r="AF411" s="52"/>
      <c r="AG411" s="52"/>
      <c r="AU411" s="108"/>
      <c r="AW411" s="108"/>
      <c r="BB411" s="108"/>
      <c r="BC411" s="108"/>
    </row>
    <row r="412">
      <c r="T412" s="136"/>
      <c r="X412" s="52"/>
      <c r="AE412" s="52"/>
      <c r="AF412" s="52"/>
      <c r="AG412" s="52"/>
      <c r="AU412" s="108"/>
      <c r="AW412" s="108"/>
      <c r="BB412" s="108"/>
      <c r="BC412" s="108"/>
    </row>
    <row r="413">
      <c r="T413" s="136"/>
      <c r="X413" s="52"/>
      <c r="AE413" s="52"/>
      <c r="AF413" s="52"/>
      <c r="AG413" s="52"/>
      <c r="AU413" s="108"/>
      <c r="AW413" s="108"/>
      <c r="BB413" s="108"/>
      <c r="BC413" s="108"/>
    </row>
    <row r="414">
      <c r="T414" s="136"/>
      <c r="X414" s="52"/>
      <c r="AE414" s="52"/>
      <c r="AF414" s="52"/>
      <c r="AG414" s="52"/>
      <c r="AU414" s="108"/>
      <c r="AW414" s="108"/>
      <c r="BB414" s="108"/>
      <c r="BC414" s="108"/>
    </row>
    <row r="415">
      <c r="T415" s="136"/>
      <c r="X415" s="52"/>
      <c r="AE415" s="52"/>
      <c r="AF415" s="52"/>
      <c r="AG415" s="52"/>
      <c r="AU415" s="108"/>
      <c r="AW415" s="108"/>
      <c r="BB415" s="108"/>
      <c r="BC415" s="108"/>
    </row>
    <row r="416">
      <c r="T416" s="136"/>
      <c r="X416" s="52"/>
      <c r="AE416" s="52"/>
      <c r="AF416" s="52"/>
      <c r="AG416" s="52"/>
      <c r="AU416" s="108"/>
      <c r="AW416" s="108"/>
      <c r="BB416" s="108"/>
      <c r="BC416" s="108"/>
    </row>
    <row r="417">
      <c r="T417" s="136"/>
      <c r="X417" s="52"/>
      <c r="AE417" s="52"/>
      <c r="AF417" s="52"/>
      <c r="AG417" s="52"/>
      <c r="AU417" s="108"/>
      <c r="AW417" s="108"/>
      <c r="BB417" s="108"/>
      <c r="BC417" s="108"/>
    </row>
    <row r="418">
      <c r="T418" s="136"/>
      <c r="X418" s="52"/>
      <c r="AE418" s="52"/>
      <c r="AF418" s="52"/>
      <c r="AG418" s="52"/>
      <c r="AU418" s="108"/>
      <c r="AW418" s="108"/>
      <c r="BB418" s="108"/>
      <c r="BC418" s="108"/>
    </row>
    <row r="419">
      <c r="T419" s="136"/>
      <c r="X419" s="52"/>
      <c r="AE419" s="52"/>
      <c r="AF419" s="52"/>
      <c r="AG419" s="52"/>
      <c r="AU419" s="108"/>
      <c r="AW419" s="108"/>
      <c r="BB419" s="108"/>
      <c r="BC419" s="108"/>
    </row>
    <row r="420">
      <c r="T420" s="136"/>
      <c r="X420" s="52"/>
      <c r="AE420" s="52"/>
      <c r="AF420" s="52"/>
      <c r="AG420" s="52"/>
      <c r="AU420" s="108"/>
      <c r="AW420" s="108"/>
      <c r="BB420" s="108"/>
      <c r="BC420" s="108"/>
    </row>
    <row r="421">
      <c r="T421" s="136"/>
      <c r="X421" s="52"/>
      <c r="AE421" s="52"/>
      <c r="AF421" s="52"/>
      <c r="AG421" s="52"/>
      <c r="AU421" s="108"/>
      <c r="AW421" s="108"/>
      <c r="BB421" s="108"/>
      <c r="BC421" s="108"/>
    </row>
    <row r="422">
      <c r="T422" s="136"/>
      <c r="X422" s="52"/>
      <c r="AE422" s="52"/>
      <c r="AF422" s="52"/>
      <c r="AG422" s="52"/>
      <c r="AU422" s="108"/>
      <c r="AW422" s="108"/>
      <c r="BB422" s="108"/>
      <c r="BC422" s="108"/>
    </row>
    <row r="423">
      <c r="T423" s="136"/>
      <c r="X423" s="52"/>
      <c r="AE423" s="52"/>
      <c r="AF423" s="52"/>
      <c r="AG423" s="52"/>
      <c r="AU423" s="108"/>
      <c r="AW423" s="108"/>
      <c r="BB423" s="108"/>
      <c r="BC423" s="108"/>
    </row>
    <row r="424">
      <c r="T424" s="136"/>
      <c r="X424" s="52"/>
      <c r="AE424" s="52"/>
      <c r="AF424" s="52"/>
      <c r="AG424" s="52"/>
      <c r="AU424" s="108"/>
      <c r="AW424" s="108"/>
      <c r="BB424" s="108"/>
      <c r="BC424" s="108"/>
    </row>
    <row r="425">
      <c r="T425" s="136"/>
      <c r="X425" s="52"/>
      <c r="AE425" s="52"/>
      <c r="AF425" s="52"/>
      <c r="AG425" s="52"/>
      <c r="AU425" s="108"/>
      <c r="AW425" s="108"/>
      <c r="BB425" s="108"/>
      <c r="BC425" s="108"/>
    </row>
    <row r="426">
      <c r="T426" s="136"/>
      <c r="X426" s="52"/>
      <c r="AE426" s="52"/>
      <c r="AF426" s="52"/>
      <c r="AG426" s="52"/>
      <c r="AU426" s="108"/>
      <c r="AW426" s="108"/>
      <c r="BB426" s="108"/>
      <c r="BC426" s="108"/>
    </row>
    <row r="427">
      <c r="T427" s="136"/>
      <c r="X427" s="52"/>
      <c r="AE427" s="52"/>
      <c r="AF427" s="52"/>
      <c r="AG427" s="52"/>
      <c r="AU427" s="108"/>
      <c r="AW427" s="108"/>
      <c r="BB427" s="108"/>
      <c r="BC427" s="108"/>
    </row>
    <row r="428">
      <c r="T428" s="136"/>
      <c r="X428" s="52"/>
      <c r="AE428" s="52"/>
      <c r="AF428" s="52"/>
      <c r="AG428" s="52"/>
      <c r="AU428" s="108"/>
      <c r="AW428" s="108"/>
      <c r="BB428" s="108"/>
      <c r="BC428" s="108"/>
    </row>
    <row r="429">
      <c r="T429" s="136"/>
      <c r="X429" s="52"/>
      <c r="AE429" s="52"/>
      <c r="AF429" s="52"/>
      <c r="AG429" s="52"/>
      <c r="AU429" s="108"/>
      <c r="AW429" s="108"/>
      <c r="BB429" s="108"/>
      <c r="BC429" s="108"/>
    </row>
    <row r="430">
      <c r="T430" s="136"/>
      <c r="X430" s="52"/>
      <c r="AE430" s="52"/>
      <c r="AF430" s="52"/>
      <c r="AG430" s="52"/>
      <c r="AU430" s="108"/>
      <c r="AW430" s="108"/>
      <c r="BB430" s="108"/>
      <c r="BC430" s="108"/>
    </row>
    <row r="431">
      <c r="T431" s="136"/>
      <c r="X431" s="52"/>
      <c r="AE431" s="52"/>
      <c r="AF431" s="52"/>
      <c r="AG431" s="52"/>
      <c r="AU431" s="108"/>
      <c r="AW431" s="108"/>
      <c r="BB431" s="108"/>
      <c r="BC431" s="108"/>
    </row>
    <row r="432">
      <c r="T432" s="136"/>
      <c r="X432" s="52"/>
      <c r="AE432" s="52"/>
      <c r="AF432" s="52"/>
      <c r="AG432" s="52"/>
      <c r="AU432" s="108"/>
      <c r="AW432" s="108"/>
      <c r="BB432" s="108"/>
      <c r="BC432" s="108"/>
    </row>
    <row r="433">
      <c r="T433" s="136"/>
      <c r="X433" s="52"/>
      <c r="AE433" s="52"/>
      <c r="AF433" s="52"/>
      <c r="AG433" s="52"/>
      <c r="AU433" s="108"/>
      <c r="AW433" s="108"/>
      <c r="BB433" s="108"/>
      <c r="BC433" s="108"/>
    </row>
    <row r="434">
      <c r="T434" s="136"/>
      <c r="X434" s="52"/>
      <c r="AE434" s="52"/>
      <c r="AF434" s="52"/>
      <c r="AG434" s="52"/>
      <c r="AU434" s="108"/>
      <c r="AW434" s="108"/>
      <c r="BB434" s="108"/>
      <c r="BC434" s="108"/>
    </row>
    <row r="435">
      <c r="T435" s="136"/>
      <c r="X435" s="52"/>
      <c r="AE435" s="52"/>
      <c r="AF435" s="52"/>
      <c r="AG435" s="52"/>
      <c r="AU435" s="108"/>
      <c r="AW435" s="108"/>
      <c r="BB435" s="108"/>
      <c r="BC435" s="108"/>
    </row>
    <row r="436">
      <c r="T436" s="136"/>
      <c r="X436" s="52"/>
      <c r="AE436" s="52"/>
      <c r="AF436" s="52"/>
      <c r="AG436" s="52"/>
      <c r="AU436" s="108"/>
      <c r="AW436" s="108"/>
      <c r="BB436" s="108"/>
      <c r="BC436" s="108"/>
    </row>
    <row r="437">
      <c r="T437" s="136"/>
      <c r="X437" s="52"/>
      <c r="AE437" s="52"/>
      <c r="AF437" s="52"/>
      <c r="AG437" s="52"/>
      <c r="AU437" s="108"/>
      <c r="AW437" s="108"/>
      <c r="BB437" s="108"/>
      <c r="BC437" s="108"/>
    </row>
    <row r="438">
      <c r="T438" s="136"/>
      <c r="X438" s="52"/>
      <c r="AE438" s="52"/>
      <c r="AF438" s="52"/>
      <c r="AG438" s="52"/>
      <c r="AU438" s="108"/>
      <c r="AW438" s="108"/>
      <c r="BB438" s="108"/>
      <c r="BC438" s="108"/>
    </row>
    <row r="439">
      <c r="T439" s="136"/>
      <c r="X439" s="52"/>
      <c r="AE439" s="52"/>
      <c r="AF439" s="52"/>
      <c r="AG439" s="52"/>
      <c r="AU439" s="108"/>
      <c r="AW439" s="108"/>
      <c r="BB439" s="108"/>
      <c r="BC439" s="108"/>
    </row>
    <row r="440">
      <c r="T440" s="136"/>
      <c r="X440" s="52"/>
      <c r="AE440" s="52"/>
      <c r="AF440" s="52"/>
      <c r="AG440" s="52"/>
      <c r="AU440" s="108"/>
      <c r="AW440" s="108"/>
      <c r="BB440" s="108"/>
      <c r="BC440" s="108"/>
    </row>
    <row r="441">
      <c r="T441" s="136"/>
      <c r="X441" s="52"/>
      <c r="AE441" s="52"/>
      <c r="AF441" s="52"/>
      <c r="AG441" s="52"/>
      <c r="AU441" s="108"/>
      <c r="AW441" s="108"/>
      <c r="BB441" s="108"/>
      <c r="BC441" s="108"/>
    </row>
    <row r="442">
      <c r="T442" s="136"/>
      <c r="X442" s="52"/>
      <c r="AE442" s="52"/>
      <c r="AF442" s="52"/>
      <c r="AG442" s="52"/>
      <c r="AU442" s="108"/>
      <c r="AW442" s="108"/>
      <c r="BB442" s="108"/>
      <c r="BC442" s="108"/>
    </row>
    <row r="443">
      <c r="T443" s="136"/>
      <c r="X443" s="52"/>
      <c r="AE443" s="52"/>
      <c r="AF443" s="52"/>
      <c r="AG443" s="52"/>
      <c r="AU443" s="108"/>
      <c r="AW443" s="108"/>
      <c r="BB443" s="108"/>
      <c r="BC443" s="108"/>
    </row>
    <row r="444">
      <c r="T444" s="136"/>
      <c r="X444" s="52"/>
      <c r="AE444" s="52"/>
      <c r="AF444" s="52"/>
      <c r="AG444" s="52"/>
      <c r="AU444" s="108"/>
      <c r="AW444" s="108"/>
      <c r="BB444" s="108"/>
      <c r="BC444" s="108"/>
    </row>
    <row r="445">
      <c r="T445" s="136"/>
      <c r="X445" s="52"/>
      <c r="AE445" s="52"/>
      <c r="AF445" s="52"/>
      <c r="AG445" s="52"/>
      <c r="AU445" s="108"/>
      <c r="AW445" s="108"/>
      <c r="BB445" s="108"/>
      <c r="BC445" s="108"/>
    </row>
    <row r="446">
      <c r="T446" s="136"/>
      <c r="X446" s="52"/>
      <c r="AE446" s="52"/>
      <c r="AF446" s="52"/>
      <c r="AG446" s="52"/>
      <c r="AU446" s="108"/>
      <c r="AW446" s="108"/>
      <c r="BB446" s="108"/>
      <c r="BC446" s="108"/>
    </row>
    <row r="447">
      <c r="T447" s="136"/>
      <c r="X447" s="52"/>
      <c r="AE447" s="52"/>
      <c r="AF447" s="52"/>
      <c r="AG447" s="52"/>
      <c r="AU447" s="108"/>
      <c r="AW447" s="108"/>
      <c r="BB447" s="108"/>
      <c r="BC447" s="108"/>
    </row>
    <row r="448">
      <c r="T448" s="136"/>
      <c r="X448" s="52"/>
      <c r="AE448" s="52"/>
      <c r="AF448" s="52"/>
      <c r="AG448" s="52"/>
      <c r="AU448" s="108"/>
      <c r="AW448" s="108"/>
      <c r="BB448" s="108"/>
      <c r="BC448" s="108"/>
    </row>
    <row r="449">
      <c r="T449" s="136"/>
      <c r="X449" s="52"/>
      <c r="AE449" s="52"/>
      <c r="AF449" s="52"/>
      <c r="AG449" s="52"/>
      <c r="AU449" s="108"/>
      <c r="AW449" s="108"/>
      <c r="BB449" s="108"/>
      <c r="BC449" s="108"/>
    </row>
    <row r="450">
      <c r="T450" s="136"/>
      <c r="X450" s="52"/>
      <c r="AE450" s="52"/>
      <c r="AF450" s="52"/>
      <c r="AG450" s="52"/>
      <c r="AU450" s="108"/>
      <c r="AW450" s="108"/>
      <c r="BB450" s="108"/>
      <c r="BC450" s="108"/>
    </row>
    <row r="451">
      <c r="T451" s="136"/>
      <c r="X451" s="52"/>
      <c r="AE451" s="52"/>
      <c r="AF451" s="52"/>
      <c r="AG451" s="52"/>
      <c r="AU451" s="108"/>
      <c r="AW451" s="108"/>
      <c r="BB451" s="108"/>
      <c r="BC451" s="108"/>
    </row>
    <row r="452">
      <c r="T452" s="136"/>
      <c r="X452" s="52"/>
      <c r="AE452" s="52"/>
      <c r="AF452" s="52"/>
      <c r="AG452" s="52"/>
      <c r="AU452" s="108"/>
      <c r="AW452" s="108"/>
      <c r="BB452" s="108"/>
      <c r="BC452" s="108"/>
    </row>
    <row r="453">
      <c r="T453" s="136"/>
      <c r="X453" s="52"/>
      <c r="AE453" s="52"/>
      <c r="AF453" s="52"/>
      <c r="AG453" s="52"/>
      <c r="AU453" s="108"/>
      <c r="AW453" s="108"/>
      <c r="BB453" s="108"/>
      <c r="BC453" s="108"/>
    </row>
    <row r="454">
      <c r="T454" s="136"/>
      <c r="X454" s="52"/>
      <c r="AE454" s="52"/>
      <c r="AF454" s="52"/>
      <c r="AG454" s="52"/>
      <c r="AU454" s="108"/>
      <c r="AW454" s="108"/>
      <c r="BB454" s="108"/>
      <c r="BC454" s="108"/>
    </row>
    <row r="455">
      <c r="T455" s="136"/>
      <c r="X455" s="52"/>
      <c r="AE455" s="52"/>
      <c r="AF455" s="52"/>
      <c r="AG455" s="52"/>
      <c r="AU455" s="108"/>
      <c r="AW455" s="108"/>
      <c r="BB455" s="108"/>
      <c r="BC455" s="108"/>
    </row>
    <row r="456">
      <c r="T456" s="136"/>
      <c r="X456" s="52"/>
      <c r="AE456" s="52"/>
      <c r="AF456" s="52"/>
      <c r="AG456" s="52"/>
      <c r="AU456" s="108"/>
      <c r="AW456" s="108"/>
      <c r="BB456" s="108"/>
      <c r="BC456" s="108"/>
    </row>
    <row r="457">
      <c r="T457" s="136"/>
      <c r="X457" s="52"/>
      <c r="AE457" s="52"/>
      <c r="AF457" s="52"/>
      <c r="AG457" s="52"/>
      <c r="AU457" s="108"/>
      <c r="AW457" s="108"/>
      <c r="BB457" s="108"/>
      <c r="BC457" s="108"/>
    </row>
    <row r="458">
      <c r="T458" s="136"/>
      <c r="X458" s="52"/>
      <c r="AE458" s="52"/>
      <c r="AF458" s="52"/>
      <c r="AG458" s="52"/>
      <c r="AU458" s="108"/>
      <c r="AW458" s="108"/>
      <c r="BB458" s="108"/>
      <c r="BC458" s="108"/>
    </row>
    <row r="459">
      <c r="T459" s="136"/>
      <c r="X459" s="52"/>
      <c r="AE459" s="52"/>
      <c r="AF459" s="52"/>
      <c r="AG459" s="52"/>
      <c r="AU459" s="108"/>
      <c r="AW459" s="108"/>
      <c r="BB459" s="108"/>
      <c r="BC459" s="108"/>
    </row>
    <row r="460">
      <c r="T460" s="136"/>
      <c r="X460" s="52"/>
      <c r="AE460" s="52"/>
      <c r="AF460" s="52"/>
      <c r="AG460" s="52"/>
      <c r="AU460" s="108"/>
      <c r="AW460" s="108"/>
      <c r="BB460" s="108"/>
      <c r="BC460" s="108"/>
    </row>
    <row r="461">
      <c r="T461" s="136"/>
      <c r="X461" s="52"/>
      <c r="AE461" s="52"/>
      <c r="AF461" s="52"/>
      <c r="AG461" s="52"/>
      <c r="AU461" s="108"/>
      <c r="AW461" s="108"/>
      <c r="BB461" s="108"/>
      <c r="BC461" s="108"/>
    </row>
    <row r="462">
      <c r="T462" s="136"/>
      <c r="X462" s="52"/>
      <c r="AE462" s="52"/>
      <c r="AF462" s="52"/>
      <c r="AG462" s="52"/>
      <c r="AU462" s="108"/>
      <c r="AW462" s="108"/>
      <c r="BB462" s="108"/>
      <c r="BC462" s="108"/>
    </row>
    <row r="463">
      <c r="T463" s="136"/>
      <c r="X463" s="52"/>
      <c r="AE463" s="52"/>
      <c r="AF463" s="52"/>
      <c r="AG463" s="52"/>
      <c r="AU463" s="108"/>
      <c r="AW463" s="108"/>
      <c r="BB463" s="108"/>
      <c r="BC463" s="108"/>
    </row>
    <row r="464">
      <c r="T464" s="136"/>
      <c r="X464" s="52"/>
      <c r="AE464" s="52"/>
      <c r="AF464" s="52"/>
      <c r="AG464" s="52"/>
      <c r="AU464" s="108"/>
      <c r="AW464" s="108"/>
      <c r="BB464" s="108"/>
      <c r="BC464" s="108"/>
    </row>
    <row r="465">
      <c r="T465" s="136"/>
      <c r="X465" s="52"/>
      <c r="AE465" s="52"/>
      <c r="AF465" s="52"/>
      <c r="AG465" s="52"/>
      <c r="AU465" s="108"/>
      <c r="AW465" s="108"/>
      <c r="BB465" s="108"/>
      <c r="BC465" s="108"/>
    </row>
    <row r="466">
      <c r="T466" s="136"/>
      <c r="X466" s="52"/>
      <c r="AE466" s="52"/>
      <c r="AF466" s="52"/>
      <c r="AG466" s="52"/>
      <c r="AU466" s="108"/>
      <c r="AW466" s="108"/>
      <c r="BB466" s="108"/>
      <c r="BC466" s="108"/>
    </row>
    <row r="467">
      <c r="T467" s="136"/>
      <c r="X467" s="52"/>
      <c r="AE467" s="52"/>
      <c r="AF467" s="52"/>
      <c r="AG467" s="52"/>
      <c r="AU467" s="108"/>
      <c r="AW467" s="108"/>
      <c r="BB467" s="108"/>
      <c r="BC467" s="108"/>
    </row>
    <row r="468">
      <c r="T468" s="136"/>
      <c r="X468" s="52"/>
      <c r="AE468" s="52"/>
      <c r="AF468" s="52"/>
      <c r="AG468" s="52"/>
      <c r="AU468" s="108"/>
      <c r="AW468" s="108"/>
      <c r="BB468" s="108"/>
      <c r="BC468" s="108"/>
    </row>
    <row r="469">
      <c r="T469" s="136"/>
      <c r="X469" s="52"/>
      <c r="AE469" s="52"/>
      <c r="AF469" s="52"/>
      <c r="AG469" s="52"/>
      <c r="AU469" s="108"/>
      <c r="AW469" s="108"/>
      <c r="BB469" s="108"/>
      <c r="BC469" s="108"/>
    </row>
    <row r="470">
      <c r="T470" s="136"/>
      <c r="X470" s="52"/>
      <c r="AE470" s="52"/>
      <c r="AF470" s="52"/>
      <c r="AG470" s="52"/>
      <c r="AU470" s="108"/>
      <c r="AW470" s="108"/>
      <c r="BB470" s="108"/>
      <c r="BC470" s="108"/>
    </row>
    <row r="471">
      <c r="T471" s="136"/>
      <c r="X471" s="52"/>
      <c r="AE471" s="52"/>
      <c r="AF471" s="52"/>
      <c r="AG471" s="52"/>
      <c r="AU471" s="108"/>
      <c r="AW471" s="108"/>
      <c r="BB471" s="108"/>
      <c r="BC471" s="108"/>
    </row>
    <row r="472">
      <c r="T472" s="136"/>
      <c r="X472" s="52"/>
      <c r="AE472" s="52"/>
      <c r="AF472" s="52"/>
      <c r="AG472" s="52"/>
      <c r="AU472" s="108"/>
      <c r="AW472" s="108"/>
      <c r="BB472" s="108"/>
      <c r="BC472" s="108"/>
    </row>
    <row r="473">
      <c r="T473" s="136"/>
      <c r="X473" s="52"/>
      <c r="AE473" s="52"/>
      <c r="AF473" s="52"/>
      <c r="AG473" s="52"/>
      <c r="AU473" s="108"/>
      <c r="AW473" s="108"/>
      <c r="BB473" s="108"/>
      <c r="BC473" s="108"/>
    </row>
    <row r="474">
      <c r="T474" s="136"/>
      <c r="X474" s="52"/>
      <c r="AE474" s="52"/>
      <c r="AF474" s="52"/>
      <c r="AG474" s="52"/>
      <c r="AU474" s="108"/>
      <c r="AW474" s="108"/>
      <c r="BB474" s="108"/>
      <c r="BC474" s="108"/>
    </row>
    <row r="475">
      <c r="T475" s="136"/>
      <c r="X475" s="52"/>
      <c r="AE475" s="52"/>
      <c r="AF475" s="52"/>
      <c r="AG475" s="52"/>
      <c r="AU475" s="108"/>
      <c r="AW475" s="108"/>
      <c r="BB475" s="108"/>
      <c r="BC475" s="108"/>
    </row>
    <row r="476">
      <c r="T476" s="136"/>
      <c r="X476" s="52"/>
      <c r="AE476" s="52"/>
      <c r="AF476" s="52"/>
      <c r="AG476" s="52"/>
      <c r="AU476" s="108"/>
      <c r="AW476" s="108"/>
      <c r="BB476" s="108"/>
      <c r="BC476" s="108"/>
    </row>
    <row r="477">
      <c r="T477" s="136"/>
      <c r="X477" s="52"/>
      <c r="AE477" s="52"/>
      <c r="AF477" s="52"/>
      <c r="AG477" s="52"/>
      <c r="AU477" s="108"/>
      <c r="AW477" s="108"/>
      <c r="BB477" s="108"/>
      <c r="BC477" s="108"/>
    </row>
    <row r="478">
      <c r="T478" s="136"/>
      <c r="X478" s="52"/>
      <c r="AE478" s="52"/>
      <c r="AF478" s="52"/>
      <c r="AG478" s="52"/>
      <c r="AU478" s="108"/>
      <c r="AW478" s="108"/>
      <c r="BB478" s="108"/>
      <c r="BC478" s="108"/>
    </row>
    <row r="479">
      <c r="T479" s="136"/>
      <c r="X479" s="52"/>
      <c r="AE479" s="52"/>
      <c r="AF479" s="52"/>
      <c r="AG479" s="52"/>
      <c r="AU479" s="108"/>
      <c r="AW479" s="108"/>
      <c r="BB479" s="108"/>
      <c r="BC479" s="108"/>
    </row>
    <row r="480">
      <c r="T480" s="136"/>
      <c r="X480" s="52"/>
      <c r="AE480" s="52"/>
      <c r="AF480" s="52"/>
      <c r="AG480" s="52"/>
      <c r="AU480" s="108"/>
      <c r="AW480" s="108"/>
      <c r="BB480" s="108"/>
      <c r="BC480" s="108"/>
    </row>
    <row r="481">
      <c r="T481" s="136"/>
      <c r="X481" s="52"/>
      <c r="AE481" s="52"/>
      <c r="AF481" s="52"/>
      <c r="AG481" s="52"/>
      <c r="AU481" s="108"/>
      <c r="AW481" s="108"/>
      <c r="BB481" s="108"/>
      <c r="BC481" s="108"/>
    </row>
    <row r="482">
      <c r="T482" s="136"/>
      <c r="X482" s="52"/>
      <c r="AE482" s="52"/>
      <c r="AF482" s="52"/>
      <c r="AG482" s="52"/>
      <c r="AU482" s="108"/>
      <c r="AW482" s="108"/>
      <c r="BB482" s="108"/>
      <c r="BC482" s="108"/>
    </row>
    <row r="483">
      <c r="T483" s="136"/>
      <c r="X483" s="52"/>
      <c r="AE483" s="52"/>
      <c r="AF483" s="52"/>
      <c r="AG483" s="52"/>
      <c r="AU483" s="108"/>
      <c r="AW483" s="108"/>
      <c r="BB483" s="108"/>
      <c r="BC483" s="108"/>
    </row>
    <row r="484">
      <c r="T484" s="136"/>
      <c r="X484" s="52"/>
      <c r="AE484" s="52"/>
      <c r="AF484" s="52"/>
      <c r="AG484" s="52"/>
      <c r="AU484" s="108"/>
      <c r="AW484" s="108"/>
      <c r="BB484" s="108"/>
      <c r="BC484" s="108"/>
    </row>
    <row r="485">
      <c r="T485" s="136"/>
      <c r="X485" s="52"/>
      <c r="AE485" s="52"/>
      <c r="AF485" s="52"/>
      <c r="AG485" s="52"/>
      <c r="AU485" s="108"/>
      <c r="AW485" s="108"/>
      <c r="BB485" s="108"/>
      <c r="BC485" s="108"/>
    </row>
    <row r="486">
      <c r="T486" s="136"/>
      <c r="X486" s="52"/>
      <c r="AE486" s="52"/>
      <c r="AF486" s="52"/>
      <c r="AG486" s="52"/>
      <c r="AU486" s="108"/>
      <c r="AW486" s="108"/>
      <c r="BB486" s="108"/>
      <c r="BC486" s="108"/>
    </row>
    <row r="487">
      <c r="T487" s="136"/>
      <c r="X487" s="52"/>
      <c r="AE487" s="52"/>
      <c r="AF487" s="52"/>
      <c r="AG487" s="52"/>
      <c r="AU487" s="108"/>
      <c r="AW487" s="108"/>
      <c r="BB487" s="108"/>
      <c r="BC487" s="108"/>
    </row>
    <row r="488">
      <c r="T488" s="136"/>
      <c r="X488" s="52"/>
      <c r="AE488" s="52"/>
      <c r="AF488" s="52"/>
      <c r="AG488" s="52"/>
      <c r="AU488" s="108"/>
      <c r="AW488" s="108"/>
      <c r="BB488" s="108"/>
      <c r="BC488" s="108"/>
    </row>
    <row r="489">
      <c r="T489" s="136"/>
      <c r="X489" s="52"/>
      <c r="AE489" s="52"/>
      <c r="AF489" s="52"/>
      <c r="AG489" s="52"/>
      <c r="AU489" s="108"/>
      <c r="AW489" s="108"/>
      <c r="BB489" s="108"/>
      <c r="BC489" s="108"/>
    </row>
    <row r="490">
      <c r="T490" s="136"/>
      <c r="X490" s="52"/>
      <c r="AE490" s="52"/>
      <c r="AF490" s="52"/>
      <c r="AG490" s="52"/>
      <c r="AU490" s="108"/>
      <c r="AW490" s="108"/>
      <c r="BB490" s="108"/>
      <c r="BC490" s="108"/>
    </row>
    <row r="491">
      <c r="T491" s="136"/>
      <c r="X491" s="52"/>
      <c r="AE491" s="52"/>
      <c r="AF491" s="52"/>
      <c r="AG491" s="52"/>
      <c r="AU491" s="108"/>
      <c r="AW491" s="108"/>
      <c r="BB491" s="108"/>
      <c r="BC491" s="108"/>
    </row>
    <row r="492">
      <c r="T492" s="136"/>
      <c r="X492" s="52"/>
      <c r="AE492" s="52"/>
      <c r="AF492" s="52"/>
      <c r="AG492" s="52"/>
      <c r="AU492" s="108"/>
      <c r="AW492" s="108"/>
      <c r="BB492" s="108"/>
      <c r="BC492" s="108"/>
    </row>
    <row r="493">
      <c r="T493" s="136"/>
      <c r="X493" s="52"/>
      <c r="AE493" s="52"/>
      <c r="AF493" s="52"/>
      <c r="AG493" s="52"/>
      <c r="AU493" s="108"/>
      <c r="AW493" s="108"/>
      <c r="BB493" s="108"/>
      <c r="BC493" s="108"/>
    </row>
    <row r="494">
      <c r="T494" s="136"/>
      <c r="X494" s="52"/>
      <c r="AE494" s="52"/>
      <c r="AF494" s="52"/>
      <c r="AG494" s="52"/>
      <c r="AU494" s="108"/>
      <c r="AW494" s="108"/>
      <c r="BB494" s="108"/>
      <c r="BC494" s="108"/>
    </row>
    <row r="495">
      <c r="T495" s="136"/>
      <c r="X495" s="52"/>
      <c r="AE495" s="52"/>
      <c r="AF495" s="52"/>
      <c r="AG495" s="52"/>
      <c r="AU495" s="108"/>
      <c r="AW495" s="108"/>
      <c r="BB495" s="108"/>
      <c r="BC495" s="108"/>
    </row>
    <row r="496">
      <c r="T496" s="136"/>
      <c r="X496" s="52"/>
      <c r="AE496" s="52"/>
      <c r="AF496" s="52"/>
      <c r="AG496" s="52"/>
      <c r="AU496" s="108"/>
      <c r="AW496" s="108"/>
      <c r="BB496" s="108"/>
      <c r="BC496" s="108"/>
    </row>
    <row r="497">
      <c r="T497" s="136"/>
      <c r="X497" s="52"/>
      <c r="AE497" s="52"/>
      <c r="AF497" s="52"/>
      <c r="AG497" s="52"/>
      <c r="AU497" s="108"/>
      <c r="AW497" s="108"/>
      <c r="BB497" s="108"/>
      <c r="BC497" s="108"/>
    </row>
    <row r="498">
      <c r="T498" s="136"/>
      <c r="X498" s="52"/>
      <c r="AE498" s="52"/>
      <c r="AF498" s="52"/>
      <c r="AG498" s="52"/>
      <c r="AU498" s="108"/>
      <c r="AW498" s="108"/>
      <c r="BB498" s="108"/>
      <c r="BC498" s="108"/>
    </row>
    <row r="499">
      <c r="T499" s="136"/>
      <c r="X499" s="52"/>
      <c r="AE499" s="52"/>
      <c r="AF499" s="52"/>
      <c r="AG499" s="52"/>
      <c r="AU499" s="108"/>
      <c r="AW499" s="108"/>
      <c r="BB499" s="108"/>
      <c r="BC499" s="108"/>
    </row>
    <row r="500">
      <c r="T500" s="136"/>
      <c r="X500" s="52"/>
      <c r="AE500" s="52"/>
      <c r="AF500" s="52"/>
      <c r="AG500" s="52"/>
      <c r="AU500" s="108"/>
      <c r="AW500" s="108"/>
      <c r="BB500" s="108"/>
      <c r="BC500" s="108"/>
    </row>
    <row r="501">
      <c r="T501" s="136"/>
      <c r="X501" s="52"/>
      <c r="AE501" s="52"/>
      <c r="AF501" s="52"/>
      <c r="AG501" s="52"/>
      <c r="AU501" s="108"/>
      <c r="AW501" s="108"/>
      <c r="BB501" s="108"/>
      <c r="BC501" s="108"/>
    </row>
    <row r="502">
      <c r="T502" s="136"/>
      <c r="X502" s="52"/>
      <c r="AE502" s="52"/>
      <c r="AF502" s="52"/>
      <c r="AG502" s="52"/>
      <c r="AU502" s="108"/>
      <c r="AW502" s="108"/>
      <c r="BB502" s="108"/>
      <c r="BC502" s="108"/>
    </row>
    <row r="503">
      <c r="T503" s="136"/>
      <c r="X503" s="52"/>
      <c r="AE503" s="52"/>
      <c r="AF503" s="52"/>
      <c r="AG503" s="52"/>
      <c r="AU503" s="108"/>
      <c r="AW503" s="108"/>
      <c r="BB503" s="108"/>
      <c r="BC503" s="108"/>
    </row>
    <row r="504">
      <c r="T504" s="136"/>
      <c r="X504" s="52"/>
      <c r="AE504" s="52"/>
      <c r="AF504" s="52"/>
      <c r="AG504" s="52"/>
      <c r="AU504" s="108"/>
      <c r="AW504" s="108"/>
      <c r="BB504" s="108"/>
      <c r="BC504" s="108"/>
    </row>
    <row r="505">
      <c r="T505" s="136"/>
      <c r="X505" s="52"/>
      <c r="AE505" s="52"/>
      <c r="AF505" s="52"/>
      <c r="AG505" s="52"/>
      <c r="AU505" s="108"/>
      <c r="AW505" s="108"/>
      <c r="BB505" s="108"/>
      <c r="BC505" s="108"/>
    </row>
    <row r="506">
      <c r="T506" s="136"/>
      <c r="X506" s="52"/>
      <c r="AE506" s="52"/>
      <c r="AF506" s="52"/>
      <c r="AG506" s="52"/>
      <c r="AU506" s="108"/>
      <c r="AW506" s="108"/>
      <c r="BB506" s="108"/>
      <c r="BC506" s="108"/>
    </row>
    <row r="507">
      <c r="T507" s="136"/>
      <c r="X507" s="52"/>
      <c r="AE507" s="52"/>
      <c r="AF507" s="52"/>
      <c r="AG507" s="52"/>
      <c r="AU507" s="108"/>
      <c r="AW507" s="108"/>
      <c r="BB507" s="108"/>
      <c r="BC507" s="108"/>
    </row>
    <row r="508">
      <c r="T508" s="136"/>
      <c r="X508" s="52"/>
      <c r="AE508" s="52"/>
      <c r="AF508" s="52"/>
      <c r="AG508" s="52"/>
      <c r="AU508" s="108"/>
      <c r="AW508" s="108"/>
      <c r="BB508" s="108"/>
      <c r="BC508" s="108"/>
    </row>
    <row r="509">
      <c r="T509" s="136"/>
      <c r="X509" s="52"/>
      <c r="AE509" s="52"/>
      <c r="AF509" s="52"/>
      <c r="AG509" s="52"/>
      <c r="AU509" s="108"/>
      <c r="AW509" s="108"/>
      <c r="BB509" s="108"/>
      <c r="BC509" s="108"/>
    </row>
    <row r="510">
      <c r="T510" s="136"/>
      <c r="X510" s="52"/>
      <c r="AE510" s="52"/>
      <c r="AF510" s="52"/>
      <c r="AG510" s="52"/>
      <c r="AU510" s="108"/>
      <c r="AW510" s="108"/>
      <c r="BB510" s="108"/>
      <c r="BC510" s="108"/>
    </row>
    <row r="511">
      <c r="T511" s="136"/>
      <c r="X511" s="52"/>
      <c r="AE511" s="52"/>
      <c r="AF511" s="52"/>
      <c r="AG511" s="52"/>
      <c r="AU511" s="108"/>
      <c r="AW511" s="108"/>
      <c r="BB511" s="108"/>
      <c r="BC511" s="108"/>
    </row>
    <row r="512">
      <c r="T512" s="136"/>
      <c r="X512" s="52"/>
      <c r="AE512" s="52"/>
      <c r="AF512" s="52"/>
      <c r="AG512" s="52"/>
      <c r="AU512" s="108"/>
      <c r="AW512" s="108"/>
      <c r="BB512" s="108"/>
      <c r="BC512" s="108"/>
    </row>
    <row r="513">
      <c r="T513" s="136"/>
      <c r="X513" s="52"/>
      <c r="AE513" s="52"/>
      <c r="AF513" s="52"/>
      <c r="AG513" s="52"/>
      <c r="AU513" s="108"/>
      <c r="AW513" s="108"/>
      <c r="BB513" s="108"/>
      <c r="BC513" s="108"/>
    </row>
    <row r="514">
      <c r="T514" s="136"/>
      <c r="X514" s="52"/>
      <c r="AE514" s="52"/>
      <c r="AF514" s="52"/>
      <c r="AG514" s="52"/>
      <c r="AU514" s="108"/>
      <c r="AW514" s="108"/>
      <c r="BB514" s="108"/>
      <c r="BC514" s="108"/>
    </row>
    <row r="515">
      <c r="T515" s="136"/>
      <c r="X515" s="52"/>
      <c r="AE515" s="52"/>
      <c r="AF515" s="52"/>
      <c r="AG515" s="52"/>
      <c r="AU515" s="108"/>
      <c r="AW515" s="108"/>
      <c r="BB515" s="108"/>
      <c r="BC515" s="108"/>
    </row>
    <row r="516">
      <c r="T516" s="136"/>
      <c r="X516" s="52"/>
      <c r="AE516" s="52"/>
      <c r="AF516" s="52"/>
      <c r="AG516" s="52"/>
      <c r="AU516" s="108"/>
      <c r="AW516" s="108"/>
      <c r="BB516" s="108"/>
      <c r="BC516" s="108"/>
    </row>
    <row r="517">
      <c r="T517" s="136"/>
      <c r="X517" s="52"/>
      <c r="AE517" s="52"/>
      <c r="AF517" s="52"/>
      <c r="AG517" s="52"/>
      <c r="AU517" s="108"/>
      <c r="AW517" s="108"/>
      <c r="BB517" s="108"/>
      <c r="BC517" s="108"/>
    </row>
    <row r="518">
      <c r="T518" s="136"/>
      <c r="X518" s="52"/>
      <c r="AE518" s="52"/>
      <c r="AF518" s="52"/>
      <c r="AG518" s="52"/>
      <c r="AU518" s="108"/>
      <c r="AW518" s="108"/>
      <c r="BB518" s="108"/>
      <c r="BC518" s="108"/>
    </row>
    <row r="519">
      <c r="T519" s="136"/>
      <c r="X519" s="52"/>
      <c r="AE519" s="52"/>
      <c r="AF519" s="52"/>
      <c r="AG519" s="52"/>
      <c r="AU519" s="108"/>
      <c r="AW519" s="108"/>
      <c r="BB519" s="108"/>
      <c r="BC519" s="108"/>
    </row>
    <row r="520">
      <c r="T520" s="136"/>
      <c r="X520" s="52"/>
      <c r="AE520" s="52"/>
      <c r="AF520" s="52"/>
      <c r="AG520" s="52"/>
      <c r="AU520" s="108"/>
      <c r="AW520" s="108"/>
      <c r="BB520" s="108"/>
      <c r="BC520" s="108"/>
    </row>
    <row r="521">
      <c r="T521" s="136"/>
      <c r="X521" s="52"/>
      <c r="AE521" s="52"/>
      <c r="AF521" s="52"/>
      <c r="AG521" s="52"/>
      <c r="AU521" s="108"/>
      <c r="AW521" s="108"/>
      <c r="BB521" s="108"/>
      <c r="BC521" s="108"/>
    </row>
    <row r="522">
      <c r="T522" s="136"/>
      <c r="X522" s="52"/>
      <c r="AE522" s="52"/>
      <c r="AF522" s="52"/>
      <c r="AG522" s="52"/>
      <c r="AU522" s="108"/>
      <c r="AW522" s="108"/>
      <c r="BB522" s="108"/>
      <c r="BC522" s="108"/>
    </row>
    <row r="523">
      <c r="T523" s="136"/>
      <c r="X523" s="52"/>
      <c r="AE523" s="52"/>
      <c r="AF523" s="52"/>
      <c r="AG523" s="52"/>
      <c r="AU523" s="108"/>
      <c r="AW523" s="108"/>
      <c r="BB523" s="108"/>
      <c r="BC523" s="108"/>
    </row>
    <row r="524">
      <c r="T524" s="136"/>
      <c r="X524" s="52"/>
      <c r="AE524" s="52"/>
      <c r="AF524" s="52"/>
      <c r="AG524" s="52"/>
      <c r="AU524" s="108"/>
      <c r="AW524" s="108"/>
      <c r="BB524" s="108"/>
      <c r="BC524" s="108"/>
    </row>
    <row r="525">
      <c r="T525" s="136"/>
      <c r="X525" s="52"/>
      <c r="AE525" s="52"/>
      <c r="AF525" s="52"/>
      <c r="AG525" s="52"/>
      <c r="AU525" s="108"/>
      <c r="AW525" s="108"/>
      <c r="BB525" s="108"/>
      <c r="BC525" s="108"/>
    </row>
    <row r="526">
      <c r="T526" s="136"/>
      <c r="X526" s="52"/>
      <c r="AE526" s="52"/>
      <c r="AF526" s="52"/>
      <c r="AG526" s="52"/>
      <c r="AU526" s="108"/>
      <c r="AW526" s="108"/>
      <c r="BB526" s="108"/>
      <c r="BC526" s="108"/>
    </row>
    <row r="527">
      <c r="T527" s="136"/>
      <c r="X527" s="52"/>
      <c r="AE527" s="52"/>
      <c r="AF527" s="52"/>
      <c r="AG527" s="52"/>
      <c r="AU527" s="108"/>
      <c r="AW527" s="108"/>
      <c r="BB527" s="108"/>
      <c r="BC527" s="108"/>
    </row>
    <row r="528">
      <c r="T528" s="136"/>
      <c r="X528" s="52"/>
      <c r="AE528" s="52"/>
      <c r="AF528" s="52"/>
      <c r="AG528" s="52"/>
      <c r="AU528" s="108"/>
      <c r="AW528" s="108"/>
      <c r="BB528" s="108"/>
      <c r="BC528" s="108"/>
    </row>
    <row r="529">
      <c r="T529" s="136"/>
      <c r="X529" s="52"/>
      <c r="AE529" s="52"/>
      <c r="AF529" s="52"/>
      <c r="AG529" s="52"/>
      <c r="AU529" s="108"/>
      <c r="AW529" s="108"/>
      <c r="BB529" s="108"/>
      <c r="BC529" s="108"/>
    </row>
    <row r="530">
      <c r="T530" s="136"/>
      <c r="X530" s="52"/>
      <c r="AE530" s="52"/>
      <c r="AF530" s="52"/>
      <c r="AG530" s="52"/>
      <c r="AU530" s="108"/>
      <c r="AW530" s="108"/>
      <c r="BB530" s="108"/>
      <c r="BC530" s="108"/>
    </row>
    <row r="531">
      <c r="T531" s="136"/>
      <c r="X531" s="52"/>
      <c r="AE531" s="52"/>
      <c r="AF531" s="52"/>
      <c r="AG531" s="52"/>
      <c r="AU531" s="108"/>
      <c r="AW531" s="108"/>
      <c r="BB531" s="108"/>
      <c r="BC531" s="108"/>
    </row>
    <row r="532">
      <c r="T532" s="136"/>
      <c r="X532" s="52"/>
      <c r="AE532" s="52"/>
      <c r="AF532" s="52"/>
      <c r="AG532" s="52"/>
      <c r="AU532" s="108"/>
      <c r="AW532" s="108"/>
      <c r="BB532" s="108"/>
      <c r="BC532" s="108"/>
    </row>
    <row r="533">
      <c r="T533" s="136"/>
      <c r="X533" s="52"/>
      <c r="AE533" s="52"/>
      <c r="AF533" s="52"/>
      <c r="AG533" s="52"/>
      <c r="AU533" s="108"/>
      <c r="AW533" s="108"/>
      <c r="BB533" s="108"/>
      <c r="BC533" s="108"/>
    </row>
    <row r="534">
      <c r="T534" s="136"/>
      <c r="X534" s="52"/>
      <c r="AE534" s="52"/>
      <c r="AF534" s="52"/>
      <c r="AG534" s="52"/>
      <c r="AU534" s="108"/>
      <c r="AW534" s="108"/>
      <c r="BB534" s="108"/>
      <c r="BC534" s="108"/>
    </row>
    <row r="535">
      <c r="T535" s="136"/>
      <c r="X535" s="52"/>
      <c r="AE535" s="52"/>
      <c r="AF535" s="52"/>
      <c r="AG535" s="52"/>
      <c r="AU535" s="108"/>
      <c r="AW535" s="108"/>
      <c r="BB535" s="108"/>
      <c r="BC535" s="108"/>
    </row>
    <row r="536">
      <c r="T536" s="136"/>
      <c r="X536" s="52"/>
      <c r="AE536" s="52"/>
      <c r="AF536" s="52"/>
      <c r="AG536" s="52"/>
      <c r="AU536" s="108"/>
      <c r="AW536" s="108"/>
      <c r="BB536" s="108"/>
      <c r="BC536" s="108"/>
    </row>
    <row r="537">
      <c r="T537" s="136"/>
      <c r="X537" s="52"/>
      <c r="AE537" s="52"/>
      <c r="AF537" s="52"/>
      <c r="AG537" s="52"/>
      <c r="AU537" s="108"/>
      <c r="AW537" s="108"/>
      <c r="BB537" s="108"/>
      <c r="BC537" s="108"/>
    </row>
    <row r="538">
      <c r="T538" s="136"/>
      <c r="X538" s="52"/>
      <c r="AE538" s="52"/>
      <c r="AF538" s="52"/>
      <c r="AG538" s="52"/>
      <c r="AU538" s="108"/>
      <c r="AW538" s="108"/>
      <c r="BB538" s="108"/>
      <c r="BC538" s="108"/>
    </row>
    <row r="539">
      <c r="T539" s="136"/>
      <c r="X539" s="52"/>
      <c r="AE539" s="52"/>
      <c r="AF539" s="52"/>
      <c r="AG539" s="52"/>
      <c r="AU539" s="108"/>
      <c r="AW539" s="108"/>
      <c r="BB539" s="108"/>
      <c r="BC539" s="108"/>
    </row>
    <row r="540">
      <c r="T540" s="136"/>
      <c r="X540" s="52"/>
      <c r="AE540" s="52"/>
      <c r="AF540" s="52"/>
      <c r="AG540" s="52"/>
      <c r="AU540" s="108"/>
      <c r="AW540" s="108"/>
      <c r="BB540" s="108"/>
      <c r="BC540" s="108"/>
    </row>
    <row r="541">
      <c r="T541" s="136"/>
      <c r="X541" s="52"/>
      <c r="AE541" s="52"/>
      <c r="AF541" s="52"/>
      <c r="AG541" s="52"/>
      <c r="AU541" s="108"/>
      <c r="AW541" s="108"/>
      <c r="BB541" s="108"/>
      <c r="BC541" s="108"/>
    </row>
    <row r="542">
      <c r="T542" s="136"/>
      <c r="X542" s="52"/>
      <c r="AE542" s="52"/>
      <c r="AF542" s="52"/>
      <c r="AG542" s="52"/>
      <c r="AU542" s="108"/>
      <c r="AW542" s="108"/>
      <c r="BB542" s="108"/>
      <c r="BC542" s="108"/>
    </row>
    <row r="543">
      <c r="T543" s="136"/>
      <c r="X543" s="52"/>
      <c r="AE543" s="52"/>
      <c r="AF543" s="52"/>
      <c r="AG543" s="52"/>
      <c r="AU543" s="108"/>
      <c r="AW543" s="108"/>
      <c r="BB543" s="108"/>
      <c r="BC543" s="108"/>
    </row>
    <row r="544">
      <c r="T544" s="136"/>
      <c r="X544" s="52"/>
      <c r="AE544" s="52"/>
      <c r="AF544" s="52"/>
      <c r="AG544" s="52"/>
      <c r="AU544" s="108"/>
      <c r="AW544" s="108"/>
      <c r="BB544" s="108"/>
      <c r="BC544" s="108"/>
    </row>
    <row r="545">
      <c r="T545" s="136"/>
      <c r="X545" s="52"/>
      <c r="AE545" s="52"/>
      <c r="AF545" s="52"/>
      <c r="AG545" s="52"/>
      <c r="AU545" s="108"/>
      <c r="AW545" s="108"/>
      <c r="BB545" s="108"/>
      <c r="BC545" s="108"/>
    </row>
    <row r="546">
      <c r="T546" s="136"/>
      <c r="X546" s="52"/>
      <c r="AE546" s="52"/>
      <c r="AF546" s="52"/>
      <c r="AG546" s="52"/>
      <c r="AU546" s="108"/>
      <c r="AW546" s="108"/>
      <c r="BB546" s="108"/>
      <c r="BC546" s="108"/>
    </row>
    <row r="547">
      <c r="T547" s="136"/>
      <c r="X547" s="52"/>
      <c r="AE547" s="52"/>
      <c r="AF547" s="52"/>
      <c r="AG547" s="52"/>
      <c r="AU547" s="108"/>
      <c r="AW547" s="108"/>
      <c r="BB547" s="108"/>
      <c r="BC547" s="108"/>
    </row>
    <row r="548">
      <c r="T548" s="136"/>
      <c r="X548" s="52"/>
      <c r="AE548" s="52"/>
      <c r="AF548" s="52"/>
      <c r="AG548" s="52"/>
      <c r="AU548" s="108"/>
      <c r="AW548" s="108"/>
      <c r="BB548" s="108"/>
      <c r="BC548" s="108"/>
    </row>
    <row r="549">
      <c r="T549" s="136"/>
      <c r="X549" s="52"/>
      <c r="AE549" s="52"/>
      <c r="AF549" s="52"/>
      <c r="AG549" s="52"/>
      <c r="AU549" s="108"/>
      <c r="AW549" s="108"/>
      <c r="BB549" s="108"/>
      <c r="BC549" s="108"/>
    </row>
    <row r="550">
      <c r="T550" s="136"/>
      <c r="X550" s="52"/>
      <c r="AE550" s="52"/>
      <c r="AF550" s="52"/>
      <c r="AG550" s="52"/>
      <c r="AU550" s="108"/>
      <c r="AW550" s="108"/>
      <c r="BB550" s="108"/>
      <c r="BC550" s="108"/>
    </row>
    <row r="551">
      <c r="T551" s="136"/>
      <c r="X551" s="52"/>
      <c r="AE551" s="52"/>
      <c r="AF551" s="52"/>
      <c r="AG551" s="52"/>
      <c r="AU551" s="108"/>
      <c r="AW551" s="108"/>
      <c r="BB551" s="108"/>
      <c r="BC551" s="108"/>
    </row>
    <row r="552">
      <c r="T552" s="136"/>
      <c r="X552" s="52"/>
      <c r="AE552" s="52"/>
      <c r="AF552" s="52"/>
      <c r="AG552" s="52"/>
      <c r="AU552" s="108"/>
      <c r="AW552" s="108"/>
      <c r="BB552" s="108"/>
      <c r="BC552" s="108"/>
    </row>
    <row r="553">
      <c r="T553" s="136"/>
      <c r="X553" s="52"/>
      <c r="AE553" s="52"/>
      <c r="AF553" s="52"/>
      <c r="AG553" s="52"/>
      <c r="AU553" s="108"/>
      <c r="AW553" s="108"/>
      <c r="BB553" s="108"/>
      <c r="BC553" s="108"/>
    </row>
    <row r="554">
      <c r="T554" s="136"/>
      <c r="X554" s="52"/>
      <c r="AE554" s="52"/>
      <c r="AF554" s="52"/>
      <c r="AG554" s="52"/>
      <c r="AU554" s="108"/>
      <c r="AW554" s="108"/>
      <c r="BB554" s="108"/>
      <c r="BC554" s="108"/>
    </row>
    <row r="555">
      <c r="T555" s="136"/>
      <c r="X555" s="52"/>
      <c r="AE555" s="52"/>
      <c r="AF555" s="52"/>
      <c r="AG555" s="52"/>
      <c r="AU555" s="108"/>
      <c r="AW555" s="108"/>
      <c r="BB555" s="108"/>
      <c r="BC555" s="108"/>
    </row>
    <row r="556">
      <c r="T556" s="136"/>
      <c r="X556" s="52"/>
      <c r="AE556" s="52"/>
      <c r="AF556" s="52"/>
      <c r="AG556" s="52"/>
      <c r="AU556" s="108"/>
      <c r="AW556" s="108"/>
      <c r="BB556" s="108"/>
      <c r="BC556" s="108"/>
    </row>
    <row r="557">
      <c r="T557" s="136"/>
      <c r="X557" s="52"/>
      <c r="AE557" s="52"/>
      <c r="AF557" s="52"/>
      <c r="AG557" s="52"/>
      <c r="AU557" s="108"/>
      <c r="AW557" s="108"/>
      <c r="BB557" s="108"/>
      <c r="BC557" s="108"/>
    </row>
    <row r="558">
      <c r="T558" s="136"/>
      <c r="X558" s="52"/>
      <c r="AE558" s="52"/>
      <c r="AF558" s="52"/>
      <c r="AG558" s="52"/>
      <c r="AU558" s="108"/>
      <c r="AW558" s="108"/>
      <c r="BB558" s="108"/>
      <c r="BC558" s="108"/>
    </row>
    <row r="559">
      <c r="T559" s="136"/>
      <c r="X559" s="52"/>
      <c r="AE559" s="52"/>
      <c r="AF559" s="52"/>
      <c r="AG559" s="52"/>
      <c r="AU559" s="108"/>
      <c r="AW559" s="108"/>
      <c r="BB559" s="108"/>
      <c r="BC559" s="108"/>
    </row>
    <row r="560">
      <c r="T560" s="136"/>
      <c r="X560" s="52"/>
      <c r="AE560" s="52"/>
      <c r="AF560" s="52"/>
      <c r="AG560" s="52"/>
      <c r="AU560" s="108"/>
      <c r="AW560" s="108"/>
      <c r="BB560" s="108"/>
      <c r="BC560" s="108"/>
    </row>
    <row r="561">
      <c r="T561" s="136"/>
      <c r="X561" s="52"/>
      <c r="AE561" s="52"/>
      <c r="AF561" s="52"/>
      <c r="AG561" s="52"/>
      <c r="AU561" s="108"/>
      <c r="AW561" s="108"/>
      <c r="BB561" s="108"/>
      <c r="BC561" s="108"/>
    </row>
    <row r="562">
      <c r="T562" s="136"/>
      <c r="X562" s="52"/>
      <c r="AE562" s="52"/>
      <c r="AF562" s="52"/>
      <c r="AG562" s="52"/>
      <c r="AU562" s="108"/>
      <c r="AW562" s="108"/>
      <c r="BB562" s="108"/>
      <c r="BC562" s="108"/>
    </row>
    <row r="563">
      <c r="T563" s="136"/>
      <c r="X563" s="52"/>
      <c r="AE563" s="52"/>
      <c r="AF563" s="52"/>
      <c r="AG563" s="52"/>
      <c r="AU563" s="108"/>
      <c r="AW563" s="108"/>
      <c r="BB563" s="108"/>
      <c r="BC563" s="108"/>
    </row>
    <row r="564">
      <c r="T564" s="136"/>
      <c r="X564" s="52"/>
      <c r="AE564" s="52"/>
      <c r="AF564" s="52"/>
      <c r="AG564" s="52"/>
      <c r="AU564" s="108"/>
      <c r="AW564" s="108"/>
      <c r="BB564" s="108"/>
      <c r="BC564" s="108"/>
    </row>
    <row r="565">
      <c r="T565" s="136"/>
      <c r="X565" s="52"/>
      <c r="AE565" s="52"/>
      <c r="AF565" s="52"/>
      <c r="AG565" s="52"/>
      <c r="AU565" s="108"/>
      <c r="AW565" s="108"/>
      <c r="BB565" s="108"/>
      <c r="BC565" s="108"/>
    </row>
    <row r="566">
      <c r="T566" s="136"/>
      <c r="X566" s="52"/>
      <c r="AE566" s="52"/>
      <c r="AF566" s="52"/>
      <c r="AG566" s="52"/>
      <c r="AU566" s="108"/>
      <c r="AW566" s="108"/>
      <c r="BB566" s="108"/>
      <c r="BC566" s="108"/>
    </row>
    <row r="567">
      <c r="T567" s="136"/>
      <c r="X567" s="52"/>
      <c r="AE567" s="52"/>
      <c r="AF567" s="52"/>
      <c r="AG567" s="52"/>
      <c r="AU567" s="108"/>
      <c r="AW567" s="108"/>
      <c r="BB567" s="108"/>
      <c r="BC567" s="108"/>
    </row>
    <row r="568">
      <c r="T568" s="136"/>
      <c r="X568" s="52"/>
      <c r="AE568" s="52"/>
      <c r="AF568" s="52"/>
      <c r="AG568" s="52"/>
      <c r="AU568" s="108"/>
      <c r="AW568" s="108"/>
      <c r="BB568" s="108"/>
      <c r="BC568" s="108"/>
    </row>
    <row r="569">
      <c r="T569" s="136"/>
      <c r="X569" s="52"/>
      <c r="AE569" s="52"/>
      <c r="AF569" s="52"/>
      <c r="AG569" s="52"/>
      <c r="AU569" s="108"/>
      <c r="AW569" s="108"/>
      <c r="BB569" s="108"/>
      <c r="BC569" s="108"/>
    </row>
    <row r="570">
      <c r="T570" s="136"/>
      <c r="X570" s="52"/>
      <c r="AE570" s="52"/>
      <c r="AF570" s="52"/>
      <c r="AG570" s="52"/>
      <c r="AU570" s="108"/>
      <c r="AW570" s="108"/>
      <c r="BB570" s="108"/>
      <c r="BC570" s="108"/>
    </row>
    <row r="571">
      <c r="T571" s="136"/>
      <c r="X571" s="52"/>
      <c r="AE571" s="52"/>
      <c r="AF571" s="52"/>
      <c r="AG571" s="52"/>
      <c r="AU571" s="108"/>
      <c r="AW571" s="108"/>
      <c r="BB571" s="108"/>
      <c r="BC571" s="108"/>
    </row>
    <row r="572">
      <c r="T572" s="136"/>
      <c r="X572" s="52"/>
      <c r="AE572" s="52"/>
      <c r="AF572" s="52"/>
      <c r="AG572" s="52"/>
      <c r="AU572" s="108"/>
      <c r="AW572" s="108"/>
      <c r="BB572" s="108"/>
      <c r="BC572" s="108"/>
    </row>
    <row r="573">
      <c r="T573" s="136"/>
      <c r="X573" s="52"/>
      <c r="AE573" s="52"/>
      <c r="AF573" s="52"/>
      <c r="AG573" s="52"/>
      <c r="AU573" s="108"/>
      <c r="AW573" s="108"/>
      <c r="BB573" s="108"/>
      <c r="BC573" s="108"/>
    </row>
    <row r="574">
      <c r="T574" s="136"/>
      <c r="X574" s="52"/>
      <c r="AE574" s="52"/>
      <c r="AF574" s="52"/>
      <c r="AG574" s="52"/>
      <c r="AU574" s="108"/>
      <c r="AW574" s="108"/>
      <c r="BB574" s="108"/>
      <c r="BC574" s="108"/>
    </row>
    <row r="575">
      <c r="T575" s="136"/>
      <c r="X575" s="52"/>
      <c r="AE575" s="52"/>
      <c r="AF575" s="52"/>
      <c r="AG575" s="52"/>
      <c r="AU575" s="108"/>
      <c r="AW575" s="108"/>
      <c r="BB575" s="108"/>
      <c r="BC575" s="108"/>
    </row>
    <row r="576">
      <c r="T576" s="136"/>
      <c r="X576" s="52"/>
      <c r="AE576" s="52"/>
      <c r="AF576" s="52"/>
      <c r="AG576" s="52"/>
      <c r="AU576" s="108"/>
      <c r="AW576" s="108"/>
      <c r="BB576" s="108"/>
      <c r="BC576" s="108"/>
    </row>
    <row r="577">
      <c r="T577" s="136"/>
      <c r="X577" s="52"/>
      <c r="AE577" s="52"/>
      <c r="AF577" s="52"/>
      <c r="AG577" s="52"/>
      <c r="AU577" s="108"/>
      <c r="AW577" s="108"/>
      <c r="BB577" s="108"/>
      <c r="BC577" s="108"/>
    </row>
    <row r="578">
      <c r="T578" s="136"/>
      <c r="X578" s="52"/>
      <c r="AE578" s="52"/>
      <c r="AF578" s="52"/>
      <c r="AG578" s="52"/>
      <c r="AU578" s="108"/>
      <c r="AW578" s="108"/>
      <c r="BB578" s="108"/>
      <c r="BC578" s="108"/>
    </row>
    <row r="579">
      <c r="T579" s="136"/>
      <c r="X579" s="52"/>
      <c r="AE579" s="52"/>
      <c r="AF579" s="52"/>
      <c r="AG579" s="52"/>
      <c r="AU579" s="108"/>
      <c r="AW579" s="108"/>
      <c r="BB579" s="108"/>
      <c r="BC579" s="108"/>
    </row>
    <row r="580">
      <c r="T580" s="136"/>
      <c r="X580" s="52"/>
      <c r="AE580" s="52"/>
      <c r="AF580" s="52"/>
      <c r="AG580" s="52"/>
      <c r="AU580" s="108"/>
      <c r="AW580" s="108"/>
      <c r="BB580" s="108"/>
      <c r="BC580" s="108"/>
    </row>
    <row r="581">
      <c r="T581" s="136"/>
      <c r="X581" s="52"/>
      <c r="AE581" s="52"/>
      <c r="AF581" s="52"/>
      <c r="AG581" s="52"/>
      <c r="AU581" s="108"/>
      <c r="AW581" s="108"/>
      <c r="BB581" s="108"/>
      <c r="BC581" s="108"/>
    </row>
    <row r="582">
      <c r="T582" s="136"/>
      <c r="X582" s="52"/>
      <c r="AE582" s="52"/>
      <c r="AF582" s="52"/>
      <c r="AG582" s="52"/>
      <c r="AU582" s="108"/>
      <c r="AW582" s="108"/>
      <c r="BB582" s="108"/>
      <c r="BC582" s="108"/>
    </row>
    <row r="583">
      <c r="T583" s="136"/>
      <c r="X583" s="52"/>
      <c r="AE583" s="52"/>
      <c r="AF583" s="52"/>
      <c r="AG583" s="52"/>
      <c r="AU583" s="108"/>
      <c r="AW583" s="108"/>
      <c r="BB583" s="108"/>
      <c r="BC583" s="108"/>
    </row>
    <row r="584">
      <c r="T584" s="136"/>
      <c r="X584" s="52"/>
      <c r="AE584" s="52"/>
      <c r="AF584" s="52"/>
      <c r="AG584" s="52"/>
      <c r="AU584" s="108"/>
      <c r="AW584" s="108"/>
      <c r="BB584" s="108"/>
      <c r="BC584" s="108"/>
    </row>
    <row r="585">
      <c r="T585" s="136"/>
      <c r="X585" s="52"/>
      <c r="AE585" s="52"/>
      <c r="AF585" s="52"/>
      <c r="AG585" s="52"/>
      <c r="AU585" s="108"/>
      <c r="AW585" s="108"/>
      <c r="BB585" s="108"/>
      <c r="BC585" s="108"/>
    </row>
    <row r="586">
      <c r="T586" s="136"/>
      <c r="X586" s="52"/>
      <c r="AE586" s="52"/>
      <c r="AF586" s="52"/>
      <c r="AG586" s="52"/>
      <c r="AU586" s="108"/>
      <c r="AW586" s="108"/>
      <c r="BB586" s="108"/>
      <c r="BC586" s="108"/>
    </row>
    <row r="587">
      <c r="T587" s="136"/>
      <c r="X587" s="52"/>
      <c r="AE587" s="52"/>
      <c r="AF587" s="52"/>
      <c r="AG587" s="52"/>
      <c r="AU587" s="108"/>
      <c r="AW587" s="108"/>
      <c r="BB587" s="108"/>
      <c r="BC587" s="108"/>
    </row>
    <row r="588">
      <c r="T588" s="136"/>
      <c r="X588" s="52"/>
      <c r="AE588" s="52"/>
      <c r="AF588" s="52"/>
      <c r="AG588" s="52"/>
      <c r="AU588" s="108"/>
      <c r="AW588" s="108"/>
      <c r="BB588" s="108"/>
      <c r="BC588" s="108"/>
    </row>
    <row r="589">
      <c r="T589" s="136"/>
      <c r="X589" s="52"/>
      <c r="AE589" s="52"/>
      <c r="AF589" s="52"/>
      <c r="AG589" s="52"/>
      <c r="AU589" s="108"/>
      <c r="AW589" s="108"/>
      <c r="BB589" s="108"/>
      <c r="BC589" s="108"/>
    </row>
    <row r="590">
      <c r="T590" s="136"/>
      <c r="X590" s="52"/>
      <c r="AE590" s="52"/>
      <c r="AF590" s="52"/>
      <c r="AG590" s="52"/>
      <c r="AU590" s="108"/>
      <c r="AW590" s="108"/>
      <c r="BB590" s="108"/>
      <c r="BC590" s="108"/>
    </row>
    <row r="591">
      <c r="T591" s="136"/>
      <c r="X591" s="52"/>
      <c r="AE591" s="52"/>
      <c r="AF591" s="52"/>
      <c r="AG591" s="52"/>
      <c r="AU591" s="108"/>
      <c r="AW591" s="108"/>
      <c r="BB591" s="108"/>
      <c r="BC591" s="108"/>
    </row>
    <row r="592">
      <c r="T592" s="136"/>
      <c r="X592" s="52"/>
      <c r="AE592" s="52"/>
      <c r="AF592" s="52"/>
      <c r="AG592" s="52"/>
      <c r="AU592" s="108"/>
      <c r="AW592" s="108"/>
      <c r="BB592" s="108"/>
      <c r="BC592" s="108"/>
    </row>
    <row r="593">
      <c r="T593" s="136"/>
      <c r="X593" s="52"/>
      <c r="AE593" s="52"/>
      <c r="AF593" s="52"/>
      <c r="AG593" s="52"/>
      <c r="AU593" s="108"/>
      <c r="AW593" s="108"/>
      <c r="BB593" s="108"/>
      <c r="BC593" s="108"/>
    </row>
    <row r="594">
      <c r="T594" s="136"/>
      <c r="X594" s="52"/>
      <c r="AE594" s="52"/>
      <c r="AF594" s="52"/>
      <c r="AG594" s="52"/>
      <c r="AU594" s="108"/>
      <c r="AW594" s="108"/>
      <c r="BB594" s="108"/>
      <c r="BC594" s="108"/>
    </row>
    <row r="595">
      <c r="T595" s="136"/>
      <c r="X595" s="52"/>
      <c r="AE595" s="52"/>
      <c r="AF595" s="52"/>
      <c r="AG595" s="52"/>
      <c r="AU595" s="108"/>
      <c r="AW595" s="108"/>
      <c r="BB595" s="108"/>
      <c r="BC595" s="108"/>
    </row>
    <row r="596">
      <c r="T596" s="136"/>
      <c r="X596" s="52"/>
      <c r="AE596" s="52"/>
      <c r="AF596" s="52"/>
      <c r="AG596" s="52"/>
      <c r="AU596" s="108"/>
      <c r="AW596" s="108"/>
      <c r="BB596" s="108"/>
      <c r="BC596" s="108"/>
    </row>
    <row r="597">
      <c r="T597" s="136"/>
      <c r="X597" s="52"/>
      <c r="AE597" s="52"/>
      <c r="AF597" s="52"/>
      <c r="AG597" s="52"/>
      <c r="AU597" s="108"/>
      <c r="AW597" s="108"/>
      <c r="BB597" s="108"/>
      <c r="BC597" s="108"/>
    </row>
    <row r="598">
      <c r="T598" s="136"/>
      <c r="X598" s="52"/>
      <c r="AE598" s="52"/>
      <c r="AF598" s="52"/>
      <c r="AG598" s="52"/>
      <c r="AU598" s="108"/>
      <c r="AW598" s="108"/>
      <c r="BB598" s="108"/>
      <c r="BC598" s="108"/>
    </row>
    <row r="599">
      <c r="T599" s="136"/>
      <c r="X599" s="52"/>
      <c r="AE599" s="52"/>
      <c r="AF599" s="52"/>
      <c r="AG599" s="52"/>
      <c r="AU599" s="108"/>
      <c r="AW599" s="108"/>
      <c r="BB599" s="108"/>
      <c r="BC599" s="108"/>
    </row>
    <row r="600">
      <c r="T600" s="136"/>
      <c r="X600" s="52"/>
      <c r="AE600" s="52"/>
      <c r="AF600" s="52"/>
      <c r="AG600" s="52"/>
      <c r="AU600" s="108"/>
      <c r="AW600" s="108"/>
      <c r="BB600" s="108"/>
      <c r="BC600" s="108"/>
    </row>
    <row r="601">
      <c r="T601" s="136"/>
      <c r="X601" s="52"/>
      <c r="AE601" s="52"/>
      <c r="AF601" s="52"/>
      <c r="AG601" s="52"/>
      <c r="AU601" s="108"/>
      <c r="AW601" s="108"/>
      <c r="BB601" s="108"/>
      <c r="BC601" s="108"/>
    </row>
    <row r="602">
      <c r="T602" s="136"/>
      <c r="X602" s="52"/>
      <c r="AE602" s="52"/>
      <c r="AF602" s="52"/>
      <c r="AG602" s="52"/>
      <c r="AU602" s="108"/>
      <c r="AW602" s="108"/>
      <c r="BB602" s="108"/>
      <c r="BC602" s="108"/>
    </row>
    <row r="603">
      <c r="T603" s="136"/>
      <c r="X603" s="52"/>
      <c r="AE603" s="52"/>
      <c r="AF603" s="52"/>
      <c r="AG603" s="52"/>
      <c r="AU603" s="108"/>
      <c r="AW603" s="108"/>
      <c r="BB603" s="108"/>
      <c r="BC603" s="108"/>
    </row>
    <row r="604">
      <c r="T604" s="136"/>
      <c r="X604" s="52"/>
      <c r="AE604" s="52"/>
      <c r="AF604" s="52"/>
      <c r="AG604" s="52"/>
      <c r="AU604" s="108"/>
      <c r="AW604" s="108"/>
      <c r="BB604" s="108"/>
      <c r="BC604" s="108"/>
    </row>
    <row r="605">
      <c r="T605" s="136"/>
      <c r="X605" s="52"/>
      <c r="AE605" s="52"/>
      <c r="AF605" s="52"/>
      <c r="AG605" s="52"/>
      <c r="AU605" s="108"/>
      <c r="AW605" s="108"/>
      <c r="BB605" s="108"/>
      <c r="BC605" s="108"/>
    </row>
    <row r="606">
      <c r="T606" s="136"/>
      <c r="X606" s="52"/>
      <c r="AE606" s="52"/>
      <c r="AF606" s="52"/>
      <c r="AG606" s="52"/>
      <c r="AU606" s="108"/>
      <c r="AW606" s="108"/>
      <c r="BB606" s="108"/>
      <c r="BC606" s="108"/>
    </row>
    <row r="607">
      <c r="T607" s="136"/>
      <c r="X607" s="52"/>
      <c r="AE607" s="52"/>
      <c r="AF607" s="52"/>
      <c r="AG607" s="52"/>
      <c r="AU607" s="108"/>
      <c r="AW607" s="108"/>
      <c r="BB607" s="108"/>
      <c r="BC607" s="108"/>
    </row>
    <row r="608">
      <c r="T608" s="136"/>
      <c r="X608" s="52"/>
      <c r="AE608" s="52"/>
      <c r="AF608" s="52"/>
      <c r="AG608" s="52"/>
      <c r="AU608" s="108"/>
      <c r="AW608" s="108"/>
      <c r="BB608" s="108"/>
      <c r="BC608" s="108"/>
    </row>
    <row r="609">
      <c r="T609" s="136"/>
      <c r="X609" s="52"/>
      <c r="AE609" s="52"/>
      <c r="AF609" s="52"/>
      <c r="AG609" s="52"/>
      <c r="AU609" s="108"/>
      <c r="AW609" s="108"/>
      <c r="BB609" s="108"/>
      <c r="BC609" s="108"/>
    </row>
    <row r="610">
      <c r="T610" s="136"/>
      <c r="X610" s="52"/>
      <c r="AE610" s="52"/>
      <c r="AF610" s="52"/>
      <c r="AG610" s="52"/>
      <c r="AU610" s="108"/>
      <c r="AW610" s="108"/>
      <c r="BB610" s="108"/>
      <c r="BC610" s="108"/>
    </row>
    <row r="611">
      <c r="T611" s="136"/>
      <c r="X611" s="52"/>
      <c r="AE611" s="52"/>
      <c r="AF611" s="52"/>
      <c r="AG611" s="52"/>
      <c r="AU611" s="108"/>
      <c r="AW611" s="108"/>
      <c r="BB611" s="108"/>
      <c r="BC611" s="108"/>
    </row>
    <row r="612">
      <c r="T612" s="136"/>
      <c r="X612" s="52"/>
      <c r="AE612" s="52"/>
      <c r="AF612" s="52"/>
      <c r="AG612" s="52"/>
      <c r="AU612" s="108"/>
      <c r="AW612" s="108"/>
      <c r="BB612" s="108"/>
      <c r="BC612" s="108"/>
    </row>
    <row r="613">
      <c r="T613" s="136"/>
      <c r="X613" s="52"/>
      <c r="AE613" s="52"/>
      <c r="AF613" s="52"/>
      <c r="AG613" s="52"/>
      <c r="AU613" s="108"/>
      <c r="AW613" s="108"/>
      <c r="BB613" s="108"/>
      <c r="BC613" s="108"/>
    </row>
    <row r="614">
      <c r="T614" s="136"/>
      <c r="X614" s="52"/>
      <c r="AE614" s="52"/>
      <c r="AF614" s="52"/>
      <c r="AG614" s="52"/>
      <c r="AU614" s="108"/>
      <c r="AW614" s="108"/>
      <c r="BB614" s="108"/>
      <c r="BC614" s="108"/>
    </row>
    <row r="615">
      <c r="T615" s="136"/>
      <c r="X615" s="52"/>
      <c r="AE615" s="52"/>
      <c r="AF615" s="52"/>
      <c r="AG615" s="52"/>
      <c r="AU615" s="108"/>
      <c r="AW615" s="108"/>
      <c r="BB615" s="108"/>
      <c r="BC615" s="108"/>
    </row>
    <row r="616">
      <c r="T616" s="136"/>
      <c r="X616" s="52"/>
      <c r="AE616" s="52"/>
      <c r="AF616" s="52"/>
      <c r="AG616" s="52"/>
      <c r="AU616" s="108"/>
      <c r="AW616" s="108"/>
      <c r="BB616" s="108"/>
      <c r="BC616" s="108"/>
    </row>
    <row r="617">
      <c r="T617" s="136"/>
      <c r="X617" s="52"/>
      <c r="AE617" s="52"/>
      <c r="AF617" s="52"/>
      <c r="AG617" s="52"/>
      <c r="AU617" s="108"/>
      <c r="AW617" s="108"/>
      <c r="BB617" s="108"/>
      <c r="BC617" s="108"/>
    </row>
    <row r="618">
      <c r="T618" s="136"/>
      <c r="X618" s="52"/>
      <c r="AE618" s="52"/>
      <c r="AF618" s="52"/>
      <c r="AG618" s="52"/>
      <c r="AU618" s="108"/>
      <c r="AW618" s="108"/>
      <c r="BB618" s="108"/>
      <c r="BC618" s="108"/>
    </row>
    <row r="619">
      <c r="T619" s="136"/>
      <c r="X619" s="52"/>
      <c r="AE619" s="52"/>
      <c r="AF619" s="52"/>
      <c r="AG619" s="52"/>
      <c r="AU619" s="108"/>
      <c r="AW619" s="108"/>
      <c r="BB619" s="108"/>
      <c r="BC619" s="108"/>
    </row>
    <row r="620">
      <c r="T620" s="136"/>
      <c r="X620" s="52"/>
      <c r="AE620" s="52"/>
      <c r="AF620" s="52"/>
      <c r="AG620" s="52"/>
      <c r="AU620" s="108"/>
      <c r="AW620" s="108"/>
      <c r="BB620" s="108"/>
      <c r="BC620" s="108"/>
    </row>
    <row r="621">
      <c r="T621" s="136"/>
      <c r="X621" s="52"/>
      <c r="AE621" s="52"/>
      <c r="AF621" s="52"/>
      <c r="AG621" s="52"/>
      <c r="AU621" s="108"/>
      <c r="AW621" s="108"/>
      <c r="BB621" s="108"/>
      <c r="BC621" s="108"/>
    </row>
    <row r="622">
      <c r="T622" s="136"/>
      <c r="X622" s="52"/>
      <c r="AE622" s="52"/>
      <c r="AF622" s="52"/>
      <c r="AG622" s="52"/>
      <c r="AU622" s="108"/>
      <c r="AW622" s="108"/>
      <c r="BB622" s="108"/>
      <c r="BC622" s="108"/>
    </row>
    <row r="623">
      <c r="T623" s="136"/>
      <c r="X623" s="52"/>
      <c r="AE623" s="52"/>
      <c r="AF623" s="52"/>
      <c r="AG623" s="52"/>
      <c r="AU623" s="108"/>
      <c r="AW623" s="108"/>
      <c r="BB623" s="108"/>
      <c r="BC623" s="108"/>
    </row>
    <row r="624">
      <c r="T624" s="136"/>
      <c r="X624" s="52"/>
      <c r="AE624" s="52"/>
      <c r="AF624" s="52"/>
      <c r="AG624" s="52"/>
      <c r="AU624" s="108"/>
      <c r="AW624" s="108"/>
      <c r="BB624" s="108"/>
      <c r="BC624" s="108"/>
    </row>
    <row r="625">
      <c r="T625" s="136"/>
      <c r="X625" s="52"/>
      <c r="AE625" s="52"/>
      <c r="AF625" s="52"/>
      <c r="AG625" s="52"/>
      <c r="AU625" s="108"/>
      <c r="AW625" s="108"/>
      <c r="BB625" s="108"/>
      <c r="BC625" s="108"/>
    </row>
    <row r="626">
      <c r="T626" s="136"/>
      <c r="X626" s="52"/>
      <c r="AE626" s="52"/>
      <c r="AF626" s="52"/>
      <c r="AG626" s="52"/>
      <c r="AU626" s="108"/>
      <c r="AW626" s="108"/>
      <c r="BB626" s="108"/>
      <c r="BC626" s="108"/>
    </row>
    <row r="627">
      <c r="T627" s="136"/>
      <c r="X627" s="52"/>
      <c r="AE627" s="52"/>
      <c r="AF627" s="52"/>
      <c r="AG627" s="52"/>
      <c r="AU627" s="108"/>
      <c r="AW627" s="108"/>
      <c r="BB627" s="108"/>
      <c r="BC627" s="108"/>
    </row>
    <row r="628">
      <c r="T628" s="136"/>
      <c r="X628" s="52"/>
      <c r="AE628" s="52"/>
      <c r="AF628" s="52"/>
      <c r="AG628" s="52"/>
      <c r="AU628" s="108"/>
      <c r="AW628" s="108"/>
      <c r="BB628" s="108"/>
      <c r="BC628" s="108"/>
    </row>
    <row r="629">
      <c r="T629" s="136"/>
      <c r="X629" s="52"/>
      <c r="AE629" s="52"/>
      <c r="AF629" s="52"/>
      <c r="AG629" s="52"/>
      <c r="AU629" s="108"/>
      <c r="AW629" s="108"/>
      <c r="BB629" s="108"/>
      <c r="BC629" s="108"/>
    </row>
    <row r="630">
      <c r="T630" s="136"/>
      <c r="X630" s="52"/>
      <c r="AE630" s="52"/>
      <c r="AF630" s="52"/>
      <c r="AG630" s="52"/>
      <c r="AU630" s="108"/>
      <c r="AW630" s="108"/>
      <c r="BB630" s="108"/>
      <c r="BC630" s="108"/>
    </row>
    <row r="631">
      <c r="T631" s="136"/>
      <c r="X631" s="52"/>
      <c r="AE631" s="52"/>
      <c r="AF631" s="52"/>
      <c r="AG631" s="52"/>
      <c r="AU631" s="108"/>
      <c r="AW631" s="108"/>
      <c r="BB631" s="108"/>
      <c r="BC631" s="108"/>
    </row>
    <row r="632">
      <c r="T632" s="136"/>
      <c r="X632" s="52"/>
      <c r="AE632" s="52"/>
      <c r="AF632" s="52"/>
      <c r="AG632" s="52"/>
      <c r="AU632" s="108"/>
      <c r="AW632" s="108"/>
      <c r="BB632" s="108"/>
      <c r="BC632" s="108"/>
    </row>
    <row r="633">
      <c r="T633" s="136"/>
      <c r="X633" s="52"/>
      <c r="AE633" s="52"/>
      <c r="AF633" s="52"/>
      <c r="AG633" s="52"/>
      <c r="AU633" s="108"/>
      <c r="AW633" s="108"/>
      <c r="BB633" s="108"/>
      <c r="BC633" s="108"/>
    </row>
    <row r="634">
      <c r="T634" s="136"/>
      <c r="X634" s="52"/>
      <c r="AE634" s="52"/>
      <c r="AF634" s="52"/>
      <c r="AG634" s="52"/>
      <c r="AU634" s="108"/>
      <c r="AW634" s="108"/>
      <c r="BB634" s="108"/>
      <c r="BC634" s="108"/>
    </row>
    <row r="635">
      <c r="T635" s="136"/>
      <c r="X635" s="52"/>
      <c r="AE635" s="52"/>
      <c r="AF635" s="52"/>
      <c r="AG635" s="52"/>
      <c r="AU635" s="108"/>
      <c r="AW635" s="108"/>
      <c r="BB635" s="108"/>
      <c r="BC635" s="108"/>
    </row>
    <row r="636">
      <c r="T636" s="136"/>
      <c r="X636" s="52"/>
      <c r="AE636" s="52"/>
      <c r="AF636" s="52"/>
      <c r="AG636" s="52"/>
      <c r="AU636" s="108"/>
      <c r="AW636" s="108"/>
      <c r="BB636" s="108"/>
      <c r="BC636" s="108"/>
    </row>
    <row r="637">
      <c r="T637" s="136"/>
      <c r="X637" s="52"/>
      <c r="AE637" s="52"/>
      <c r="AF637" s="52"/>
      <c r="AG637" s="52"/>
      <c r="AU637" s="108"/>
      <c r="AW637" s="108"/>
      <c r="BB637" s="108"/>
      <c r="BC637" s="108"/>
    </row>
    <row r="638">
      <c r="T638" s="136"/>
      <c r="X638" s="52"/>
      <c r="AE638" s="52"/>
      <c r="AF638" s="52"/>
      <c r="AG638" s="52"/>
      <c r="AU638" s="108"/>
      <c r="AW638" s="108"/>
      <c r="BB638" s="108"/>
      <c r="BC638" s="108"/>
    </row>
    <row r="639">
      <c r="T639" s="136"/>
      <c r="X639" s="52"/>
      <c r="AE639" s="52"/>
      <c r="AF639" s="52"/>
      <c r="AG639" s="52"/>
      <c r="AU639" s="108"/>
      <c r="AW639" s="108"/>
      <c r="BB639" s="108"/>
      <c r="BC639" s="108"/>
    </row>
    <row r="640">
      <c r="T640" s="136"/>
      <c r="X640" s="52"/>
      <c r="AE640" s="52"/>
      <c r="AF640" s="52"/>
      <c r="AG640" s="52"/>
      <c r="AU640" s="108"/>
      <c r="AW640" s="108"/>
      <c r="BB640" s="108"/>
      <c r="BC640" s="108"/>
    </row>
    <row r="641">
      <c r="T641" s="136"/>
      <c r="X641" s="52"/>
      <c r="AE641" s="52"/>
      <c r="AF641" s="52"/>
      <c r="AG641" s="52"/>
      <c r="AU641" s="108"/>
      <c r="AW641" s="108"/>
      <c r="BB641" s="108"/>
      <c r="BC641" s="108"/>
    </row>
    <row r="642">
      <c r="T642" s="136"/>
      <c r="X642" s="52"/>
      <c r="AE642" s="52"/>
      <c r="AF642" s="52"/>
      <c r="AG642" s="52"/>
      <c r="AU642" s="108"/>
      <c r="AW642" s="108"/>
      <c r="BB642" s="108"/>
      <c r="BC642" s="108"/>
    </row>
    <row r="643">
      <c r="T643" s="136"/>
      <c r="X643" s="52"/>
      <c r="AE643" s="52"/>
      <c r="AF643" s="52"/>
      <c r="AG643" s="52"/>
      <c r="AU643" s="108"/>
      <c r="AW643" s="108"/>
      <c r="BB643" s="108"/>
      <c r="BC643" s="108"/>
    </row>
    <row r="644">
      <c r="T644" s="136"/>
      <c r="X644" s="52"/>
      <c r="AE644" s="52"/>
      <c r="AF644" s="52"/>
      <c r="AG644" s="52"/>
      <c r="AU644" s="108"/>
      <c r="AW644" s="108"/>
      <c r="BB644" s="108"/>
      <c r="BC644" s="108"/>
    </row>
    <row r="645">
      <c r="T645" s="136"/>
      <c r="X645" s="52"/>
      <c r="AE645" s="52"/>
      <c r="AF645" s="52"/>
      <c r="AG645" s="52"/>
      <c r="AU645" s="108"/>
      <c r="AW645" s="108"/>
      <c r="BB645" s="108"/>
      <c r="BC645" s="108"/>
    </row>
    <row r="646">
      <c r="T646" s="136"/>
      <c r="X646" s="52"/>
      <c r="AE646" s="52"/>
      <c r="AF646" s="52"/>
      <c r="AG646" s="52"/>
      <c r="AU646" s="108"/>
      <c r="AW646" s="108"/>
      <c r="BB646" s="108"/>
      <c r="BC646" s="108"/>
    </row>
    <row r="647">
      <c r="T647" s="136"/>
      <c r="X647" s="52"/>
      <c r="AE647" s="52"/>
      <c r="AF647" s="52"/>
      <c r="AG647" s="52"/>
      <c r="AU647" s="108"/>
      <c r="AW647" s="108"/>
      <c r="BB647" s="108"/>
      <c r="BC647" s="108"/>
    </row>
    <row r="648">
      <c r="T648" s="136"/>
      <c r="X648" s="52"/>
      <c r="AE648" s="52"/>
      <c r="AF648" s="52"/>
      <c r="AG648" s="52"/>
      <c r="AU648" s="108"/>
      <c r="AW648" s="108"/>
      <c r="BB648" s="108"/>
      <c r="BC648" s="108"/>
    </row>
    <row r="649">
      <c r="T649" s="136"/>
      <c r="X649" s="52"/>
      <c r="AE649" s="52"/>
      <c r="AF649" s="52"/>
      <c r="AG649" s="52"/>
      <c r="AU649" s="108"/>
      <c r="AW649" s="108"/>
      <c r="BB649" s="108"/>
      <c r="BC649" s="108"/>
    </row>
    <row r="650">
      <c r="T650" s="136"/>
      <c r="X650" s="52"/>
      <c r="AE650" s="52"/>
      <c r="AF650" s="52"/>
      <c r="AG650" s="52"/>
      <c r="AU650" s="108"/>
      <c r="AW650" s="108"/>
      <c r="BB650" s="108"/>
      <c r="BC650" s="108"/>
    </row>
    <row r="651">
      <c r="T651" s="136"/>
      <c r="X651" s="52"/>
      <c r="AE651" s="52"/>
      <c r="AF651" s="52"/>
      <c r="AG651" s="52"/>
      <c r="AU651" s="108"/>
      <c r="AW651" s="108"/>
      <c r="BB651" s="108"/>
      <c r="BC651" s="108"/>
    </row>
    <row r="652">
      <c r="T652" s="136"/>
      <c r="X652" s="52"/>
      <c r="AE652" s="52"/>
      <c r="AF652" s="52"/>
      <c r="AG652" s="52"/>
      <c r="AU652" s="108"/>
      <c r="AW652" s="108"/>
      <c r="BB652" s="108"/>
      <c r="BC652" s="108"/>
    </row>
    <row r="653">
      <c r="T653" s="136"/>
      <c r="X653" s="52"/>
      <c r="AE653" s="52"/>
      <c r="AF653" s="52"/>
      <c r="AG653" s="52"/>
      <c r="AU653" s="108"/>
      <c r="AW653" s="108"/>
      <c r="BB653" s="108"/>
      <c r="BC653" s="108"/>
    </row>
    <row r="654">
      <c r="T654" s="136"/>
      <c r="X654" s="52"/>
      <c r="AE654" s="52"/>
      <c r="AF654" s="52"/>
      <c r="AG654" s="52"/>
      <c r="AU654" s="108"/>
      <c r="AW654" s="108"/>
      <c r="BB654" s="108"/>
      <c r="BC654" s="108"/>
    </row>
    <row r="655">
      <c r="T655" s="136"/>
      <c r="X655" s="52"/>
      <c r="AE655" s="52"/>
      <c r="AF655" s="52"/>
      <c r="AG655" s="52"/>
      <c r="AU655" s="108"/>
      <c r="AW655" s="108"/>
      <c r="BB655" s="108"/>
      <c r="BC655" s="108"/>
    </row>
    <row r="656">
      <c r="T656" s="136"/>
      <c r="X656" s="52"/>
      <c r="AE656" s="52"/>
      <c r="AF656" s="52"/>
      <c r="AG656" s="52"/>
      <c r="AU656" s="108"/>
      <c r="AW656" s="108"/>
      <c r="BB656" s="108"/>
      <c r="BC656" s="108"/>
    </row>
    <row r="657">
      <c r="T657" s="136"/>
      <c r="X657" s="52"/>
      <c r="AE657" s="52"/>
      <c r="AF657" s="52"/>
      <c r="AG657" s="52"/>
      <c r="AU657" s="108"/>
      <c r="AW657" s="108"/>
      <c r="BB657" s="108"/>
      <c r="BC657" s="108"/>
    </row>
    <row r="658">
      <c r="T658" s="136"/>
      <c r="X658" s="52"/>
      <c r="AE658" s="52"/>
      <c r="AF658" s="52"/>
      <c r="AG658" s="52"/>
      <c r="AU658" s="108"/>
      <c r="AW658" s="108"/>
      <c r="BB658" s="108"/>
      <c r="BC658" s="108"/>
    </row>
    <row r="659">
      <c r="T659" s="136"/>
      <c r="X659" s="52"/>
      <c r="AE659" s="52"/>
      <c r="AF659" s="52"/>
      <c r="AG659" s="52"/>
      <c r="AU659" s="108"/>
      <c r="AW659" s="108"/>
      <c r="BB659" s="108"/>
      <c r="BC659" s="108"/>
    </row>
    <row r="660">
      <c r="T660" s="136"/>
      <c r="X660" s="52"/>
      <c r="AE660" s="52"/>
      <c r="AF660" s="52"/>
      <c r="AG660" s="52"/>
      <c r="AU660" s="108"/>
      <c r="AW660" s="108"/>
      <c r="BB660" s="108"/>
      <c r="BC660" s="108"/>
    </row>
    <row r="661">
      <c r="T661" s="136"/>
      <c r="X661" s="52"/>
      <c r="AE661" s="52"/>
      <c r="AF661" s="52"/>
      <c r="AG661" s="52"/>
      <c r="AU661" s="108"/>
      <c r="AW661" s="108"/>
      <c r="BB661" s="108"/>
      <c r="BC661" s="108"/>
    </row>
    <row r="662">
      <c r="T662" s="136"/>
      <c r="X662" s="52"/>
      <c r="AE662" s="52"/>
      <c r="AF662" s="52"/>
      <c r="AG662" s="52"/>
      <c r="AU662" s="108"/>
      <c r="AW662" s="108"/>
      <c r="BB662" s="108"/>
      <c r="BC662" s="108"/>
    </row>
    <row r="663">
      <c r="T663" s="136"/>
      <c r="X663" s="52"/>
      <c r="AE663" s="52"/>
      <c r="AF663" s="52"/>
      <c r="AG663" s="52"/>
      <c r="AU663" s="108"/>
      <c r="AW663" s="108"/>
      <c r="BB663" s="108"/>
      <c r="BC663" s="108"/>
    </row>
    <row r="664">
      <c r="T664" s="136"/>
      <c r="X664" s="52"/>
      <c r="AE664" s="52"/>
      <c r="AF664" s="52"/>
      <c r="AG664" s="52"/>
      <c r="AU664" s="108"/>
      <c r="AW664" s="108"/>
      <c r="BB664" s="108"/>
      <c r="BC664" s="108"/>
    </row>
    <row r="665">
      <c r="T665" s="136"/>
      <c r="X665" s="52"/>
      <c r="AE665" s="52"/>
      <c r="AF665" s="52"/>
      <c r="AG665" s="52"/>
      <c r="AU665" s="108"/>
      <c r="AW665" s="108"/>
      <c r="BB665" s="108"/>
      <c r="BC665" s="108"/>
    </row>
    <row r="666">
      <c r="T666" s="136"/>
      <c r="X666" s="52"/>
      <c r="AE666" s="52"/>
      <c r="AF666" s="52"/>
      <c r="AG666" s="52"/>
      <c r="AU666" s="108"/>
      <c r="AW666" s="108"/>
      <c r="BB666" s="108"/>
      <c r="BC666" s="108"/>
    </row>
    <row r="667">
      <c r="T667" s="136"/>
      <c r="X667" s="52"/>
      <c r="AE667" s="52"/>
      <c r="AF667" s="52"/>
      <c r="AG667" s="52"/>
      <c r="AU667" s="108"/>
      <c r="AW667" s="108"/>
      <c r="BB667" s="108"/>
      <c r="BC667" s="108"/>
    </row>
    <row r="668">
      <c r="T668" s="136"/>
      <c r="X668" s="52"/>
      <c r="AE668" s="52"/>
      <c r="AF668" s="52"/>
      <c r="AG668" s="52"/>
      <c r="AU668" s="108"/>
      <c r="AW668" s="108"/>
      <c r="BB668" s="108"/>
      <c r="BC668" s="108"/>
    </row>
    <row r="669">
      <c r="T669" s="136"/>
      <c r="X669" s="52"/>
      <c r="AE669" s="52"/>
      <c r="AF669" s="52"/>
      <c r="AG669" s="52"/>
      <c r="AU669" s="108"/>
      <c r="AW669" s="108"/>
      <c r="BB669" s="108"/>
      <c r="BC669" s="108"/>
    </row>
    <row r="670">
      <c r="T670" s="136"/>
      <c r="X670" s="52"/>
      <c r="AE670" s="52"/>
      <c r="AF670" s="52"/>
      <c r="AG670" s="52"/>
      <c r="AU670" s="108"/>
      <c r="AW670" s="108"/>
      <c r="BB670" s="108"/>
      <c r="BC670" s="108"/>
    </row>
    <row r="671">
      <c r="T671" s="136"/>
      <c r="X671" s="52"/>
      <c r="AE671" s="52"/>
      <c r="AF671" s="52"/>
      <c r="AG671" s="52"/>
      <c r="AU671" s="108"/>
      <c r="AW671" s="108"/>
      <c r="BB671" s="108"/>
      <c r="BC671" s="108"/>
    </row>
    <row r="672">
      <c r="T672" s="136"/>
      <c r="X672" s="52"/>
      <c r="AE672" s="52"/>
      <c r="AF672" s="52"/>
      <c r="AG672" s="52"/>
      <c r="AU672" s="108"/>
      <c r="AW672" s="108"/>
      <c r="BB672" s="108"/>
      <c r="BC672" s="108"/>
    </row>
    <row r="673">
      <c r="T673" s="136"/>
      <c r="X673" s="52"/>
      <c r="AE673" s="52"/>
      <c r="AF673" s="52"/>
      <c r="AG673" s="52"/>
      <c r="AU673" s="108"/>
      <c r="AW673" s="108"/>
      <c r="BB673" s="108"/>
      <c r="BC673" s="108"/>
    </row>
    <row r="674">
      <c r="T674" s="136"/>
      <c r="X674" s="52"/>
      <c r="AE674" s="52"/>
      <c r="AF674" s="52"/>
      <c r="AG674" s="52"/>
      <c r="AU674" s="108"/>
      <c r="AW674" s="108"/>
      <c r="BB674" s="108"/>
      <c r="BC674" s="108"/>
    </row>
    <row r="675">
      <c r="T675" s="136"/>
      <c r="X675" s="52"/>
      <c r="AE675" s="52"/>
      <c r="AF675" s="52"/>
      <c r="AG675" s="52"/>
      <c r="AU675" s="108"/>
      <c r="AW675" s="108"/>
      <c r="BB675" s="108"/>
      <c r="BC675" s="108"/>
    </row>
    <row r="676">
      <c r="T676" s="136"/>
      <c r="X676" s="52"/>
      <c r="AE676" s="52"/>
      <c r="AF676" s="52"/>
      <c r="AG676" s="52"/>
      <c r="AU676" s="108"/>
      <c r="AW676" s="108"/>
      <c r="BB676" s="108"/>
      <c r="BC676" s="108"/>
    </row>
    <row r="677">
      <c r="T677" s="136"/>
      <c r="X677" s="52"/>
      <c r="AE677" s="52"/>
      <c r="AF677" s="52"/>
      <c r="AG677" s="52"/>
      <c r="AU677" s="108"/>
      <c r="AW677" s="108"/>
      <c r="BB677" s="108"/>
      <c r="BC677" s="108"/>
    </row>
    <row r="678">
      <c r="T678" s="136"/>
      <c r="X678" s="52"/>
      <c r="AE678" s="52"/>
      <c r="AF678" s="52"/>
      <c r="AG678" s="52"/>
      <c r="AU678" s="108"/>
      <c r="AW678" s="108"/>
      <c r="BB678" s="108"/>
      <c r="BC678" s="108"/>
    </row>
    <row r="679">
      <c r="T679" s="136"/>
      <c r="X679" s="52"/>
      <c r="AE679" s="52"/>
      <c r="AF679" s="52"/>
      <c r="AG679" s="52"/>
      <c r="AU679" s="108"/>
      <c r="AW679" s="108"/>
      <c r="BB679" s="108"/>
      <c r="BC679" s="108"/>
    </row>
    <row r="680">
      <c r="T680" s="136"/>
      <c r="X680" s="52"/>
      <c r="AE680" s="52"/>
      <c r="AF680" s="52"/>
      <c r="AG680" s="52"/>
      <c r="AU680" s="108"/>
      <c r="AW680" s="108"/>
      <c r="BB680" s="108"/>
      <c r="BC680" s="108"/>
    </row>
    <row r="681">
      <c r="T681" s="136"/>
      <c r="X681" s="52"/>
      <c r="AE681" s="52"/>
      <c r="AF681" s="52"/>
      <c r="AG681" s="52"/>
      <c r="AU681" s="108"/>
      <c r="AW681" s="108"/>
      <c r="BB681" s="108"/>
      <c r="BC681" s="108"/>
    </row>
    <row r="682">
      <c r="T682" s="136"/>
      <c r="X682" s="52"/>
      <c r="AE682" s="52"/>
      <c r="AF682" s="52"/>
      <c r="AG682" s="52"/>
      <c r="AU682" s="108"/>
      <c r="AW682" s="108"/>
      <c r="BB682" s="108"/>
      <c r="BC682" s="108"/>
    </row>
    <row r="683">
      <c r="T683" s="136"/>
      <c r="X683" s="52"/>
      <c r="AE683" s="52"/>
      <c r="AF683" s="52"/>
      <c r="AG683" s="52"/>
      <c r="AU683" s="108"/>
      <c r="AW683" s="108"/>
      <c r="BB683" s="108"/>
      <c r="BC683" s="108"/>
    </row>
    <row r="684">
      <c r="T684" s="136"/>
      <c r="X684" s="52"/>
      <c r="AE684" s="52"/>
      <c r="AF684" s="52"/>
      <c r="AG684" s="52"/>
      <c r="AU684" s="108"/>
      <c r="AW684" s="108"/>
      <c r="BB684" s="108"/>
      <c r="BC684" s="108"/>
    </row>
    <row r="685">
      <c r="T685" s="136"/>
      <c r="X685" s="52"/>
      <c r="AE685" s="52"/>
      <c r="AF685" s="52"/>
      <c r="AG685" s="52"/>
      <c r="AU685" s="108"/>
      <c r="AW685" s="108"/>
      <c r="BB685" s="108"/>
      <c r="BC685" s="108"/>
    </row>
    <row r="686">
      <c r="T686" s="136"/>
      <c r="X686" s="52"/>
      <c r="AE686" s="52"/>
      <c r="AF686" s="52"/>
      <c r="AG686" s="52"/>
      <c r="AU686" s="108"/>
      <c r="AW686" s="108"/>
      <c r="BB686" s="108"/>
      <c r="BC686" s="108"/>
    </row>
    <row r="687">
      <c r="T687" s="136"/>
      <c r="X687" s="52"/>
      <c r="AE687" s="52"/>
      <c r="AF687" s="52"/>
      <c r="AG687" s="52"/>
      <c r="AU687" s="108"/>
      <c r="AW687" s="108"/>
      <c r="BB687" s="108"/>
      <c r="BC687" s="108"/>
    </row>
    <row r="688">
      <c r="T688" s="136"/>
      <c r="X688" s="52"/>
      <c r="AE688" s="52"/>
      <c r="AF688" s="52"/>
      <c r="AG688" s="52"/>
      <c r="AU688" s="108"/>
      <c r="AW688" s="108"/>
      <c r="BB688" s="108"/>
      <c r="BC688" s="108"/>
    </row>
    <row r="689">
      <c r="T689" s="136"/>
      <c r="X689" s="52"/>
      <c r="AE689" s="52"/>
      <c r="AF689" s="52"/>
      <c r="AG689" s="52"/>
      <c r="AU689" s="108"/>
      <c r="AW689" s="108"/>
      <c r="BB689" s="108"/>
      <c r="BC689" s="108"/>
    </row>
    <row r="690">
      <c r="T690" s="136"/>
      <c r="X690" s="52"/>
      <c r="AE690" s="52"/>
      <c r="AF690" s="52"/>
      <c r="AG690" s="52"/>
      <c r="AU690" s="108"/>
      <c r="AW690" s="108"/>
      <c r="BB690" s="108"/>
      <c r="BC690" s="108"/>
    </row>
    <row r="691">
      <c r="T691" s="136"/>
      <c r="X691" s="52"/>
      <c r="AE691" s="52"/>
      <c r="AF691" s="52"/>
      <c r="AG691" s="52"/>
      <c r="AU691" s="108"/>
      <c r="AW691" s="108"/>
      <c r="BB691" s="108"/>
      <c r="BC691" s="108"/>
    </row>
    <row r="692">
      <c r="T692" s="136"/>
      <c r="X692" s="52"/>
      <c r="AE692" s="52"/>
      <c r="AF692" s="52"/>
      <c r="AG692" s="52"/>
      <c r="AU692" s="108"/>
      <c r="AW692" s="108"/>
      <c r="BB692" s="108"/>
      <c r="BC692" s="108"/>
    </row>
    <row r="693">
      <c r="T693" s="136"/>
      <c r="X693" s="52"/>
      <c r="AE693" s="52"/>
      <c r="AF693" s="52"/>
      <c r="AG693" s="52"/>
      <c r="AU693" s="108"/>
      <c r="AW693" s="108"/>
      <c r="BB693" s="108"/>
      <c r="BC693" s="108"/>
    </row>
    <row r="694">
      <c r="T694" s="136"/>
      <c r="X694" s="52"/>
      <c r="AE694" s="52"/>
      <c r="AF694" s="52"/>
      <c r="AG694" s="52"/>
      <c r="AU694" s="108"/>
      <c r="AW694" s="108"/>
      <c r="BB694" s="108"/>
      <c r="BC694" s="108"/>
    </row>
    <row r="695">
      <c r="T695" s="136"/>
      <c r="X695" s="52"/>
      <c r="AE695" s="52"/>
      <c r="AF695" s="52"/>
      <c r="AG695" s="52"/>
      <c r="AU695" s="108"/>
      <c r="AW695" s="108"/>
      <c r="BB695" s="108"/>
      <c r="BC695" s="108"/>
    </row>
    <row r="696">
      <c r="T696" s="136"/>
      <c r="X696" s="52"/>
      <c r="AE696" s="52"/>
      <c r="AF696" s="52"/>
      <c r="AG696" s="52"/>
      <c r="AU696" s="108"/>
      <c r="AW696" s="108"/>
      <c r="BB696" s="108"/>
      <c r="BC696" s="108"/>
    </row>
    <row r="697">
      <c r="T697" s="136"/>
      <c r="X697" s="52"/>
      <c r="AE697" s="52"/>
      <c r="AF697" s="52"/>
      <c r="AG697" s="52"/>
      <c r="AU697" s="108"/>
      <c r="AW697" s="108"/>
      <c r="BB697" s="108"/>
      <c r="BC697" s="108"/>
    </row>
    <row r="698">
      <c r="T698" s="136"/>
      <c r="X698" s="52"/>
      <c r="AE698" s="52"/>
      <c r="AF698" s="52"/>
      <c r="AG698" s="52"/>
      <c r="AU698" s="108"/>
      <c r="AW698" s="108"/>
      <c r="BB698" s="108"/>
      <c r="BC698" s="108"/>
    </row>
    <row r="699">
      <c r="T699" s="136"/>
      <c r="X699" s="52"/>
      <c r="AE699" s="52"/>
      <c r="AF699" s="52"/>
      <c r="AG699" s="52"/>
      <c r="AU699" s="108"/>
      <c r="AW699" s="108"/>
      <c r="BB699" s="108"/>
      <c r="BC699" s="108"/>
    </row>
    <row r="700">
      <c r="T700" s="136"/>
      <c r="X700" s="52"/>
      <c r="AE700" s="52"/>
      <c r="AF700" s="52"/>
      <c r="AG700" s="52"/>
      <c r="AU700" s="108"/>
      <c r="AW700" s="108"/>
      <c r="BB700" s="108"/>
      <c r="BC700" s="108"/>
    </row>
    <row r="701">
      <c r="T701" s="136"/>
      <c r="X701" s="52"/>
      <c r="AE701" s="52"/>
      <c r="AF701" s="52"/>
      <c r="AG701" s="52"/>
      <c r="AU701" s="108"/>
      <c r="AW701" s="108"/>
      <c r="BB701" s="108"/>
      <c r="BC701" s="108"/>
    </row>
    <row r="702">
      <c r="T702" s="136"/>
      <c r="X702" s="52"/>
      <c r="AE702" s="52"/>
      <c r="AF702" s="52"/>
      <c r="AG702" s="52"/>
      <c r="AU702" s="108"/>
      <c r="AW702" s="108"/>
      <c r="BB702" s="108"/>
      <c r="BC702" s="108"/>
    </row>
    <row r="703">
      <c r="T703" s="136"/>
      <c r="X703" s="52"/>
      <c r="AE703" s="52"/>
      <c r="AF703" s="52"/>
      <c r="AG703" s="52"/>
      <c r="AU703" s="108"/>
      <c r="AW703" s="108"/>
      <c r="BB703" s="108"/>
      <c r="BC703" s="108"/>
    </row>
    <row r="704">
      <c r="T704" s="136"/>
      <c r="X704" s="52"/>
      <c r="AE704" s="52"/>
      <c r="AF704" s="52"/>
      <c r="AG704" s="52"/>
      <c r="AU704" s="108"/>
      <c r="AW704" s="108"/>
      <c r="BB704" s="108"/>
      <c r="BC704" s="108"/>
    </row>
    <row r="705">
      <c r="T705" s="136"/>
      <c r="X705" s="52"/>
      <c r="AE705" s="52"/>
      <c r="AF705" s="52"/>
      <c r="AG705" s="52"/>
      <c r="AU705" s="108"/>
      <c r="AW705" s="108"/>
      <c r="BB705" s="108"/>
      <c r="BC705" s="108"/>
    </row>
    <row r="706">
      <c r="T706" s="136"/>
      <c r="X706" s="52"/>
      <c r="AE706" s="52"/>
      <c r="AF706" s="52"/>
      <c r="AG706" s="52"/>
      <c r="AU706" s="108"/>
      <c r="AW706" s="108"/>
      <c r="BB706" s="108"/>
      <c r="BC706" s="108"/>
    </row>
    <row r="707">
      <c r="T707" s="136"/>
      <c r="X707" s="52"/>
      <c r="AE707" s="52"/>
      <c r="AF707" s="52"/>
      <c r="AG707" s="52"/>
      <c r="AU707" s="108"/>
      <c r="AW707" s="108"/>
      <c r="BB707" s="108"/>
      <c r="BC707" s="108"/>
    </row>
    <row r="708">
      <c r="T708" s="136"/>
      <c r="X708" s="52"/>
      <c r="AE708" s="52"/>
      <c r="AF708" s="52"/>
      <c r="AG708" s="52"/>
      <c r="AU708" s="108"/>
      <c r="AW708" s="108"/>
      <c r="BB708" s="108"/>
      <c r="BC708" s="108"/>
    </row>
    <row r="709">
      <c r="T709" s="136"/>
      <c r="X709" s="52"/>
      <c r="AE709" s="52"/>
      <c r="AF709" s="52"/>
      <c r="AG709" s="52"/>
      <c r="AU709" s="108"/>
      <c r="AW709" s="108"/>
      <c r="BB709" s="108"/>
      <c r="BC709" s="108"/>
    </row>
    <row r="710">
      <c r="T710" s="136"/>
      <c r="X710" s="52"/>
      <c r="AE710" s="52"/>
      <c r="AF710" s="52"/>
      <c r="AG710" s="52"/>
      <c r="AU710" s="108"/>
      <c r="AW710" s="108"/>
      <c r="BB710" s="108"/>
      <c r="BC710" s="108"/>
    </row>
    <row r="711">
      <c r="T711" s="136"/>
      <c r="X711" s="52"/>
      <c r="AE711" s="52"/>
      <c r="AF711" s="52"/>
      <c r="AG711" s="52"/>
      <c r="AU711" s="108"/>
      <c r="AW711" s="108"/>
      <c r="BB711" s="108"/>
      <c r="BC711" s="108"/>
    </row>
    <row r="712">
      <c r="T712" s="136"/>
      <c r="X712" s="52"/>
      <c r="AE712" s="52"/>
      <c r="AF712" s="52"/>
      <c r="AG712" s="52"/>
      <c r="AU712" s="108"/>
      <c r="AW712" s="108"/>
      <c r="BB712" s="108"/>
      <c r="BC712" s="108"/>
    </row>
    <row r="713">
      <c r="T713" s="136"/>
      <c r="X713" s="52"/>
      <c r="AE713" s="52"/>
      <c r="AF713" s="52"/>
      <c r="AG713" s="52"/>
      <c r="AU713" s="108"/>
      <c r="AW713" s="108"/>
      <c r="BB713" s="108"/>
      <c r="BC713" s="108"/>
    </row>
    <row r="714">
      <c r="T714" s="136"/>
      <c r="X714" s="52"/>
      <c r="AE714" s="52"/>
      <c r="AF714" s="52"/>
      <c r="AG714" s="52"/>
      <c r="AU714" s="108"/>
      <c r="AW714" s="108"/>
      <c r="BB714" s="108"/>
      <c r="BC714" s="108"/>
    </row>
    <row r="715">
      <c r="T715" s="136"/>
      <c r="X715" s="52"/>
      <c r="AE715" s="52"/>
      <c r="AF715" s="52"/>
      <c r="AG715" s="52"/>
      <c r="AU715" s="108"/>
      <c r="AW715" s="108"/>
      <c r="BB715" s="108"/>
      <c r="BC715" s="108"/>
    </row>
    <row r="716">
      <c r="T716" s="136"/>
      <c r="X716" s="52"/>
      <c r="AE716" s="52"/>
      <c r="AF716" s="52"/>
      <c r="AG716" s="52"/>
      <c r="AU716" s="108"/>
      <c r="AW716" s="108"/>
      <c r="BB716" s="108"/>
      <c r="BC716" s="108"/>
    </row>
    <row r="717">
      <c r="T717" s="136"/>
      <c r="X717" s="52"/>
      <c r="AE717" s="52"/>
      <c r="AF717" s="52"/>
      <c r="AG717" s="52"/>
      <c r="AU717" s="108"/>
      <c r="AW717" s="108"/>
      <c r="BB717" s="108"/>
      <c r="BC717" s="108"/>
    </row>
    <row r="718">
      <c r="T718" s="136"/>
      <c r="X718" s="52"/>
      <c r="AE718" s="52"/>
      <c r="AF718" s="52"/>
      <c r="AG718" s="52"/>
      <c r="AU718" s="108"/>
      <c r="AW718" s="108"/>
      <c r="BB718" s="108"/>
      <c r="BC718" s="108"/>
    </row>
    <row r="719">
      <c r="T719" s="136"/>
      <c r="X719" s="52"/>
      <c r="AE719" s="52"/>
      <c r="AF719" s="52"/>
      <c r="AG719" s="52"/>
      <c r="AU719" s="108"/>
      <c r="AW719" s="108"/>
      <c r="BB719" s="108"/>
      <c r="BC719" s="108"/>
    </row>
    <row r="720">
      <c r="T720" s="136"/>
      <c r="X720" s="52"/>
      <c r="AE720" s="52"/>
      <c r="AF720" s="52"/>
      <c r="AG720" s="52"/>
      <c r="AU720" s="108"/>
      <c r="AW720" s="108"/>
      <c r="BB720" s="108"/>
      <c r="BC720" s="108"/>
    </row>
    <row r="721">
      <c r="T721" s="136"/>
      <c r="X721" s="52"/>
      <c r="AE721" s="52"/>
      <c r="AF721" s="52"/>
      <c r="AG721" s="52"/>
      <c r="AU721" s="108"/>
      <c r="AW721" s="108"/>
      <c r="BB721" s="108"/>
      <c r="BC721" s="108"/>
    </row>
    <row r="722">
      <c r="T722" s="136"/>
      <c r="X722" s="52"/>
      <c r="AE722" s="52"/>
      <c r="AF722" s="52"/>
      <c r="AG722" s="52"/>
      <c r="AU722" s="108"/>
      <c r="AW722" s="108"/>
      <c r="BB722" s="108"/>
      <c r="BC722" s="108"/>
    </row>
    <row r="723">
      <c r="T723" s="136"/>
      <c r="X723" s="52"/>
      <c r="AE723" s="52"/>
      <c r="AF723" s="52"/>
      <c r="AG723" s="52"/>
      <c r="AU723" s="108"/>
      <c r="AW723" s="108"/>
      <c r="BB723" s="108"/>
      <c r="BC723" s="108"/>
    </row>
    <row r="724">
      <c r="T724" s="136"/>
      <c r="X724" s="52"/>
      <c r="AE724" s="52"/>
      <c r="AF724" s="52"/>
      <c r="AG724" s="52"/>
      <c r="AU724" s="108"/>
      <c r="AW724" s="108"/>
      <c r="BB724" s="108"/>
      <c r="BC724" s="108"/>
    </row>
    <row r="725">
      <c r="T725" s="136"/>
      <c r="X725" s="52"/>
      <c r="AE725" s="52"/>
      <c r="AF725" s="52"/>
      <c r="AG725" s="52"/>
      <c r="AU725" s="108"/>
      <c r="AW725" s="108"/>
      <c r="BB725" s="108"/>
      <c r="BC725" s="108"/>
    </row>
    <row r="726">
      <c r="T726" s="136"/>
      <c r="X726" s="52"/>
      <c r="AE726" s="52"/>
      <c r="AF726" s="52"/>
      <c r="AG726" s="52"/>
      <c r="AU726" s="108"/>
      <c r="AW726" s="108"/>
      <c r="BB726" s="108"/>
      <c r="BC726" s="108"/>
    </row>
    <row r="727">
      <c r="T727" s="136"/>
      <c r="X727" s="52"/>
      <c r="AE727" s="52"/>
      <c r="AF727" s="52"/>
      <c r="AG727" s="52"/>
      <c r="AU727" s="108"/>
      <c r="AW727" s="108"/>
      <c r="BB727" s="108"/>
      <c r="BC727" s="108"/>
    </row>
    <row r="728">
      <c r="T728" s="136"/>
      <c r="X728" s="52"/>
      <c r="AE728" s="52"/>
      <c r="AF728" s="52"/>
      <c r="AG728" s="52"/>
      <c r="AU728" s="108"/>
      <c r="AW728" s="108"/>
      <c r="BB728" s="108"/>
      <c r="BC728" s="108"/>
    </row>
    <row r="729">
      <c r="T729" s="136"/>
      <c r="X729" s="52"/>
      <c r="AE729" s="52"/>
      <c r="AF729" s="52"/>
      <c r="AG729" s="52"/>
      <c r="AU729" s="108"/>
      <c r="AW729" s="108"/>
      <c r="BB729" s="108"/>
      <c r="BC729" s="108"/>
    </row>
    <row r="730">
      <c r="T730" s="136"/>
      <c r="X730" s="52"/>
      <c r="AE730" s="52"/>
      <c r="AF730" s="52"/>
      <c r="AG730" s="52"/>
      <c r="AU730" s="108"/>
      <c r="AW730" s="108"/>
      <c r="BB730" s="108"/>
      <c r="BC730" s="108"/>
    </row>
    <row r="731">
      <c r="T731" s="136"/>
      <c r="X731" s="52"/>
      <c r="AE731" s="52"/>
      <c r="AF731" s="52"/>
      <c r="AG731" s="52"/>
      <c r="AU731" s="108"/>
      <c r="AW731" s="108"/>
      <c r="BB731" s="108"/>
      <c r="BC731" s="108"/>
    </row>
    <row r="732">
      <c r="T732" s="136"/>
      <c r="X732" s="52"/>
      <c r="AE732" s="52"/>
      <c r="AF732" s="52"/>
      <c r="AG732" s="52"/>
      <c r="AU732" s="108"/>
      <c r="AW732" s="108"/>
      <c r="BB732" s="108"/>
      <c r="BC732" s="108"/>
    </row>
    <row r="733">
      <c r="T733" s="136"/>
      <c r="X733" s="52"/>
      <c r="AE733" s="52"/>
      <c r="AF733" s="52"/>
      <c r="AG733" s="52"/>
      <c r="AU733" s="108"/>
      <c r="AW733" s="108"/>
      <c r="BB733" s="108"/>
      <c r="BC733" s="108"/>
    </row>
    <row r="734">
      <c r="T734" s="136"/>
      <c r="X734" s="52"/>
      <c r="AE734" s="52"/>
      <c r="AF734" s="52"/>
      <c r="AG734" s="52"/>
      <c r="AU734" s="108"/>
      <c r="AW734" s="108"/>
      <c r="BB734" s="108"/>
      <c r="BC734" s="108"/>
    </row>
    <row r="735">
      <c r="T735" s="136"/>
      <c r="X735" s="52"/>
      <c r="AE735" s="52"/>
      <c r="AF735" s="52"/>
      <c r="AG735" s="52"/>
      <c r="AU735" s="108"/>
      <c r="AW735" s="108"/>
      <c r="BB735" s="108"/>
      <c r="BC735" s="108"/>
    </row>
    <row r="736">
      <c r="T736" s="136"/>
      <c r="X736" s="52"/>
      <c r="AE736" s="52"/>
      <c r="AF736" s="52"/>
      <c r="AG736" s="52"/>
      <c r="AU736" s="108"/>
      <c r="AW736" s="108"/>
      <c r="BB736" s="108"/>
      <c r="BC736" s="108"/>
    </row>
    <row r="737">
      <c r="T737" s="136"/>
      <c r="X737" s="52"/>
      <c r="AE737" s="52"/>
      <c r="AF737" s="52"/>
      <c r="AG737" s="52"/>
      <c r="AU737" s="108"/>
      <c r="AW737" s="108"/>
      <c r="BB737" s="108"/>
      <c r="BC737" s="108"/>
    </row>
    <row r="738">
      <c r="T738" s="136"/>
      <c r="X738" s="52"/>
      <c r="AE738" s="52"/>
      <c r="AF738" s="52"/>
      <c r="AG738" s="52"/>
      <c r="AU738" s="108"/>
      <c r="AW738" s="108"/>
      <c r="BB738" s="108"/>
      <c r="BC738" s="108"/>
    </row>
    <row r="739">
      <c r="T739" s="136"/>
      <c r="X739" s="52"/>
      <c r="AE739" s="52"/>
      <c r="AF739" s="52"/>
      <c r="AG739" s="52"/>
      <c r="AU739" s="108"/>
      <c r="AW739" s="108"/>
      <c r="BB739" s="108"/>
      <c r="BC739" s="108"/>
    </row>
    <row r="740">
      <c r="T740" s="136"/>
      <c r="X740" s="52"/>
      <c r="AE740" s="52"/>
      <c r="AF740" s="52"/>
      <c r="AG740" s="52"/>
      <c r="AU740" s="108"/>
      <c r="AW740" s="108"/>
      <c r="BB740" s="108"/>
      <c r="BC740" s="108"/>
    </row>
    <row r="741">
      <c r="T741" s="136"/>
      <c r="X741" s="52"/>
      <c r="AE741" s="52"/>
      <c r="AF741" s="52"/>
      <c r="AG741" s="52"/>
      <c r="AU741" s="108"/>
      <c r="AW741" s="108"/>
      <c r="BB741" s="108"/>
      <c r="BC741" s="108"/>
    </row>
    <row r="742">
      <c r="T742" s="136"/>
      <c r="X742" s="52"/>
      <c r="AE742" s="52"/>
      <c r="AF742" s="52"/>
      <c r="AG742" s="52"/>
      <c r="AU742" s="108"/>
      <c r="AW742" s="108"/>
      <c r="BB742" s="108"/>
      <c r="BC742" s="108"/>
    </row>
    <row r="743">
      <c r="T743" s="136"/>
      <c r="X743" s="52"/>
      <c r="AE743" s="52"/>
      <c r="AF743" s="52"/>
      <c r="AG743" s="52"/>
      <c r="AU743" s="108"/>
      <c r="AW743" s="108"/>
      <c r="BB743" s="108"/>
      <c r="BC743" s="108"/>
    </row>
    <row r="744">
      <c r="T744" s="136"/>
      <c r="X744" s="52"/>
      <c r="AE744" s="52"/>
      <c r="AF744" s="52"/>
      <c r="AG744" s="52"/>
      <c r="AU744" s="108"/>
      <c r="AW744" s="108"/>
      <c r="BB744" s="108"/>
      <c r="BC744" s="108"/>
    </row>
    <row r="745">
      <c r="T745" s="136"/>
      <c r="X745" s="52"/>
      <c r="AE745" s="52"/>
      <c r="AF745" s="52"/>
      <c r="AG745" s="52"/>
      <c r="AU745" s="108"/>
      <c r="AW745" s="108"/>
      <c r="BB745" s="108"/>
      <c r="BC745" s="108"/>
    </row>
    <row r="746">
      <c r="T746" s="136"/>
      <c r="X746" s="52"/>
      <c r="AE746" s="52"/>
      <c r="AF746" s="52"/>
      <c r="AG746" s="52"/>
      <c r="AU746" s="108"/>
      <c r="AW746" s="108"/>
      <c r="BB746" s="108"/>
      <c r="BC746" s="108"/>
    </row>
    <row r="747">
      <c r="T747" s="136"/>
      <c r="X747" s="52"/>
      <c r="AE747" s="52"/>
      <c r="AF747" s="52"/>
      <c r="AG747" s="52"/>
      <c r="AU747" s="108"/>
      <c r="AW747" s="108"/>
      <c r="BB747" s="108"/>
      <c r="BC747" s="108"/>
    </row>
    <row r="748">
      <c r="T748" s="136"/>
      <c r="X748" s="52"/>
      <c r="AE748" s="52"/>
      <c r="AF748" s="52"/>
      <c r="AG748" s="52"/>
      <c r="AU748" s="108"/>
      <c r="AW748" s="108"/>
      <c r="BB748" s="108"/>
      <c r="BC748" s="108"/>
    </row>
    <row r="749">
      <c r="T749" s="136"/>
      <c r="X749" s="52"/>
      <c r="AE749" s="52"/>
      <c r="AF749" s="52"/>
      <c r="AG749" s="52"/>
      <c r="AU749" s="108"/>
      <c r="AW749" s="108"/>
      <c r="BB749" s="108"/>
      <c r="BC749" s="108"/>
    </row>
    <row r="750">
      <c r="T750" s="136"/>
      <c r="X750" s="52"/>
      <c r="AE750" s="52"/>
      <c r="AF750" s="52"/>
      <c r="AG750" s="52"/>
      <c r="AU750" s="108"/>
      <c r="AW750" s="108"/>
      <c r="BB750" s="108"/>
      <c r="BC750" s="108"/>
    </row>
    <row r="751">
      <c r="T751" s="136"/>
      <c r="X751" s="52"/>
      <c r="AE751" s="52"/>
      <c r="AF751" s="52"/>
      <c r="AG751" s="52"/>
      <c r="AU751" s="108"/>
      <c r="AW751" s="108"/>
      <c r="BB751" s="108"/>
      <c r="BC751" s="108"/>
    </row>
    <row r="752">
      <c r="T752" s="136"/>
      <c r="X752" s="52"/>
      <c r="AE752" s="52"/>
      <c r="AF752" s="52"/>
      <c r="AG752" s="52"/>
      <c r="AU752" s="108"/>
      <c r="AW752" s="108"/>
      <c r="BB752" s="108"/>
      <c r="BC752" s="108"/>
    </row>
    <row r="753">
      <c r="T753" s="136"/>
      <c r="X753" s="52"/>
      <c r="AE753" s="52"/>
      <c r="AF753" s="52"/>
      <c r="AG753" s="52"/>
      <c r="AU753" s="108"/>
      <c r="AW753" s="108"/>
      <c r="BB753" s="108"/>
      <c r="BC753" s="108"/>
    </row>
    <row r="754">
      <c r="T754" s="136"/>
      <c r="X754" s="52"/>
      <c r="AE754" s="52"/>
      <c r="AF754" s="52"/>
      <c r="AG754" s="52"/>
      <c r="AU754" s="108"/>
      <c r="AW754" s="108"/>
      <c r="BB754" s="108"/>
      <c r="BC754" s="108"/>
    </row>
    <row r="755">
      <c r="T755" s="136"/>
      <c r="X755" s="52"/>
      <c r="AE755" s="52"/>
      <c r="AF755" s="52"/>
      <c r="AG755" s="52"/>
      <c r="AU755" s="108"/>
      <c r="AW755" s="108"/>
      <c r="BB755" s="108"/>
      <c r="BC755" s="108"/>
    </row>
    <row r="756">
      <c r="T756" s="136"/>
      <c r="X756" s="52"/>
      <c r="AE756" s="52"/>
      <c r="AF756" s="52"/>
      <c r="AG756" s="52"/>
      <c r="AU756" s="108"/>
      <c r="AW756" s="108"/>
      <c r="BB756" s="108"/>
      <c r="BC756" s="108"/>
    </row>
    <row r="757">
      <c r="T757" s="136"/>
      <c r="X757" s="52"/>
      <c r="AE757" s="52"/>
      <c r="AF757" s="52"/>
      <c r="AG757" s="52"/>
      <c r="AU757" s="108"/>
      <c r="AW757" s="108"/>
      <c r="BB757" s="108"/>
      <c r="BC757" s="108"/>
    </row>
    <row r="758">
      <c r="T758" s="136"/>
      <c r="X758" s="52"/>
      <c r="AE758" s="52"/>
      <c r="AF758" s="52"/>
      <c r="AG758" s="52"/>
      <c r="AU758" s="108"/>
      <c r="AW758" s="108"/>
      <c r="BB758" s="108"/>
      <c r="BC758" s="108"/>
    </row>
    <row r="759">
      <c r="T759" s="136"/>
      <c r="X759" s="52"/>
      <c r="AE759" s="52"/>
      <c r="AF759" s="52"/>
      <c r="AG759" s="52"/>
      <c r="AU759" s="108"/>
      <c r="AW759" s="108"/>
      <c r="BB759" s="108"/>
      <c r="BC759" s="108"/>
    </row>
    <row r="760">
      <c r="T760" s="136"/>
      <c r="X760" s="52"/>
      <c r="AE760" s="52"/>
      <c r="AF760" s="52"/>
      <c r="AG760" s="52"/>
      <c r="AU760" s="108"/>
      <c r="AW760" s="108"/>
      <c r="BB760" s="108"/>
      <c r="BC760" s="108"/>
    </row>
    <row r="761">
      <c r="T761" s="136"/>
      <c r="X761" s="52"/>
      <c r="AE761" s="52"/>
      <c r="AF761" s="52"/>
      <c r="AG761" s="52"/>
      <c r="AU761" s="108"/>
      <c r="AW761" s="108"/>
      <c r="BB761" s="108"/>
      <c r="BC761" s="108"/>
    </row>
    <row r="762">
      <c r="T762" s="136"/>
      <c r="X762" s="52"/>
      <c r="AE762" s="52"/>
      <c r="AF762" s="52"/>
      <c r="AG762" s="52"/>
      <c r="AU762" s="108"/>
      <c r="AW762" s="108"/>
      <c r="BB762" s="108"/>
      <c r="BC762" s="108"/>
    </row>
    <row r="763">
      <c r="T763" s="136"/>
      <c r="X763" s="52"/>
      <c r="AE763" s="52"/>
      <c r="AF763" s="52"/>
      <c r="AG763" s="52"/>
      <c r="AU763" s="108"/>
      <c r="AW763" s="108"/>
      <c r="BB763" s="108"/>
      <c r="BC763" s="108"/>
    </row>
    <row r="764">
      <c r="T764" s="136"/>
      <c r="X764" s="52"/>
      <c r="AE764" s="52"/>
      <c r="AF764" s="52"/>
      <c r="AG764" s="52"/>
      <c r="AU764" s="108"/>
      <c r="AW764" s="108"/>
      <c r="BB764" s="108"/>
      <c r="BC764" s="108"/>
    </row>
    <row r="765">
      <c r="T765" s="136"/>
      <c r="X765" s="52"/>
      <c r="AE765" s="52"/>
      <c r="AF765" s="52"/>
      <c r="AG765" s="52"/>
      <c r="AU765" s="108"/>
      <c r="AW765" s="108"/>
      <c r="BB765" s="108"/>
      <c r="BC765" s="108"/>
    </row>
    <row r="766">
      <c r="T766" s="136"/>
      <c r="X766" s="52"/>
      <c r="AE766" s="52"/>
      <c r="AF766" s="52"/>
      <c r="AG766" s="52"/>
      <c r="AU766" s="108"/>
      <c r="AW766" s="108"/>
      <c r="BB766" s="108"/>
      <c r="BC766" s="108"/>
    </row>
    <row r="767">
      <c r="T767" s="136"/>
      <c r="X767" s="52"/>
      <c r="AE767" s="52"/>
      <c r="AF767" s="52"/>
      <c r="AG767" s="52"/>
      <c r="AU767" s="108"/>
      <c r="AW767" s="108"/>
      <c r="BB767" s="108"/>
      <c r="BC767" s="108"/>
    </row>
    <row r="768">
      <c r="T768" s="136"/>
      <c r="X768" s="52"/>
      <c r="AE768" s="52"/>
      <c r="AF768" s="52"/>
      <c r="AG768" s="52"/>
      <c r="AU768" s="108"/>
      <c r="AW768" s="108"/>
      <c r="BB768" s="108"/>
      <c r="BC768" s="108"/>
    </row>
    <row r="769">
      <c r="T769" s="136"/>
      <c r="X769" s="52"/>
      <c r="AE769" s="52"/>
      <c r="AF769" s="52"/>
      <c r="AG769" s="52"/>
      <c r="AU769" s="108"/>
      <c r="AW769" s="108"/>
      <c r="BB769" s="108"/>
      <c r="BC769" s="108"/>
    </row>
    <row r="770">
      <c r="T770" s="136"/>
      <c r="X770" s="52"/>
      <c r="AE770" s="52"/>
      <c r="AF770" s="52"/>
      <c r="AG770" s="52"/>
      <c r="AU770" s="108"/>
      <c r="AW770" s="108"/>
      <c r="BB770" s="108"/>
      <c r="BC770" s="108"/>
    </row>
    <row r="771">
      <c r="T771" s="136"/>
      <c r="X771" s="52"/>
      <c r="AE771" s="52"/>
      <c r="AF771" s="52"/>
      <c r="AG771" s="52"/>
      <c r="AU771" s="108"/>
      <c r="AW771" s="108"/>
      <c r="BB771" s="108"/>
      <c r="BC771" s="108"/>
    </row>
    <row r="772">
      <c r="T772" s="136"/>
      <c r="X772" s="52"/>
      <c r="AE772" s="52"/>
      <c r="AF772" s="52"/>
      <c r="AG772" s="52"/>
      <c r="AU772" s="108"/>
      <c r="AW772" s="108"/>
      <c r="BB772" s="108"/>
      <c r="BC772" s="108"/>
    </row>
    <row r="773">
      <c r="T773" s="136"/>
      <c r="X773" s="52"/>
      <c r="AE773" s="52"/>
      <c r="AF773" s="52"/>
      <c r="AG773" s="52"/>
      <c r="AU773" s="108"/>
      <c r="AW773" s="108"/>
      <c r="BB773" s="108"/>
      <c r="BC773" s="108"/>
    </row>
    <row r="774">
      <c r="T774" s="136"/>
      <c r="X774" s="52"/>
      <c r="AE774" s="52"/>
      <c r="AF774" s="52"/>
      <c r="AG774" s="52"/>
      <c r="AU774" s="108"/>
      <c r="AW774" s="108"/>
      <c r="BB774" s="108"/>
      <c r="BC774" s="108"/>
    </row>
    <row r="775">
      <c r="T775" s="136"/>
      <c r="X775" s="52"/>
      <c r="AE775" s="52"/>
      <c r="AF775" s="52"/>
      <c r="AG775" s="52"/>
      <c r="AU775" s="108"/>
      <c r="AW775" s="108"/>
      <c r="BB775" s="108"/>
      <c r="BC775" s="108"/>
    </row>
    <row r="776">
      <c r="T776" s="136"/>
      <c r="X776" s="52"/>
      <c r="AE776" s="52"/>
      <c r="AF776" s="52"/>
      <c r="AG776" s="52"/>
      <c r="AU776" s="108"/>
      <c r="AW776" s="108"/>
      <c r="BB776" s="108"/>
      <c r="BC776" s="108"/>
    </row>
    <row r="777">
      <c r="T777" s="136"/>
      <c r="X777" s="52"/>
      <c r="AE777" s="52"/>
      <c r="AF777" s="52"/>
      <c r="AG777" s="52"/>
      <c r="AU777" s="108"/>
      <c r="AW777" s="108"/>
      <c r="BB777" s="108"/>
      <c r="BC777" s="108"/>
    </row>
    <row r="778">
      <c r="T778" s="136"/>
      <c r="X778" s="52"/>
      <c r="AE778" s="52"/>
      <c r="AF778" s="52"/>
      <c r="AG778" s="52"/>
      <c r="AU778" s="108"/>
      <c r="AW778" s="108"/>
      <c r="BB778" s="108"/>
      <c r="BC778" s="108"/>
    </row>
    <row r="779">
      <c r="T779" s="136"/>
      <c r="X779" s="52"/>
      <c r="AE779" s="52"/>
      <c r="AF779" s="52"/>
      <c r="AG779" s="52"/>
      <c r="AU779" s="108"/>
      <c r="AW779" s="108"/>
      <c r="BB779" s="108"/>
      <c r="BC779" s="108"/>
    </row>
    <row r="780">
      <c r="T780" s="136"/>
      <c r="X780" s="52"/>
      <c r="AE780" s="52"/>
      <c r="AF780" s="52"/>
      <c r="AG780" s="52"/>
      <c r="AU780" s="108"/>
      <c r="AW780" s="108"/>
      <c r="BB780" s="108"/>
      <c r="BC780" s="108"/>
    </row>
    <row r="781">
      <c r="T781" s="136"/>
      <c r="X781" s="52"/>
      <c r="AE781" s="52"/>
      <c r="AF781" s="52"/>
      <c r="AG781" s="52"/>
      <c r="AU781" s="108"/>
      <c r="AW781" s="108"/>
      <c r="BB781" s="108"/>
      <c r="BC781" s="108"/>
    </row>
    <row r="782">
      <c r="T782" s="136"/>
      <c r="X782" s="52"/>
      <c r="AE782" s="52"/>
      <c r="AF782" s="52"/>
      <c r="AG782" s="52"/>
      <c r="AU782" s="108"/>
      <c r="AW782" s="108"/>
      <c r="BB782" s="108"/>
      <c r="BC782" s="108"/>
    </row>
    <row r="783">
      <c r="T783" s="136"/>
      <c r="X783" s="52"/>
      <c r="AE783" s="52"/>
      <c r="AF783" s="52"/>
      <c r="AG783" s="52"/>
      <c r="AU783" s="108"/>
      <c r="AW783" s="108"/>
      <c r="BB783" s="108"/>
      <c r="BC783" s="108"/>
    </row>
    <row r="784">
      <c r="T784" s="136"/>
      <c r="X784" s="52"/>
      <c r="AE784" s="52"/>
      <c r="AF784" s="52"/>
      <c r="AG784" s="52"/>
      <c r="AU784" s="108"/>
      <c r="AW784" s="108"/>
      <c r="BB784" s="108"/>
      <c r="BC784" s="108"/>
    </row>
    <row r="785">
      <c r="T785" s="136"/>
      <c r="X785" s="52"/>
      <c r="AE785" s="52"/>
      <c r="AF785" s="52"/>
      <c r="AG785" s="52"/>
      <c r="AU785" s="108"/>
      <c r="AW785" s="108"/>
      <c r="BB785" s="108"/>
      <c r="BC785" s="108"/>
    </row>
    <row r="786">
      <c r="T786" s="136"/>
      <c r="X786" s="52"/>
      <c r="AE786" s="52"/>
      <c r="AF786" s="52"/>
      <c r="AG786" s="52"/>
      <c r="AU786" s="108"/>
      <c r="AW786" s="108"/>
      <c r="BB786" s="108"/>
      <c r="BC786" s="108"/>
    </row>
    <row r="787">
      <c r="T787" s="136"/>
      <c r="X787" s="52"/>
      <c r="AE787" s="52"/>
      <c r="AF787" s="52"/>
      <c r="AG787" s="52"/>
      <c r="AU787" s="108"/>
      <c r="AW787" s="108"/>
      <c r="BB787" s="108"/>
      <c r="BC787" s="108"/>
    </row>
    <row r="788">
      <c r="T788" s="136"/>
      <c r="X788" s="52"/>
      <c r="AE788" s="52"/>
      <c r="AF788" s="52"/>
      <c r="AG788" s="52"/>
      <c r="AU788" s="108"/>
      <c r="AW788" s="108"/>
      <c r="BB788" s="108"/>
      <c r="BC788" s="108"/>
    </row>
    <row r="789">
      <c r="T789" s="136"/>
      <c r="X789" s="52"/>
      <c r="AE789" s="52"/>
      <c r="AF789" s="52"/>
      <c r="AG789" s="52"/>
      <c r="AU789" s="108"/>
      <c r="AW789" s="108"/>
      <c r="BB789" s="108"/>
      <c r="BC789" s="108"/>
    </row>
    <row r="790">
      <c r="T790" s="136"/>
      <c r="X790" s="52"/>
      <c r="AE790" s="52"/>
      <c r="AF790" s="52"/>
      <c r="AG790" s="52"/>
      <c r="AU790" s="108"/>
      <c r="AW790" s="108"/>
      <c r="BB790" s="108"/>
      <c r="BC790" s="108"/>
    </row>
    <row r="791">
      <c r="T791" s="136"/>
      <c r="X791" s="52"/>
      <c r="AE791" s="52"/>
      <c r="AF791" s="52"/>
      <c r="AG791" s="52"/>
      <c r="AU791" s="108"/>
      <c r="AW791" s="108"/>
      <c r="BB791" s="108"/>
      <c r="BC791" s="108"/>
    </row>
    <row r="792">
      <c r="T792" s="136"/>
      <c r="X792" s="52"/>
      <c r="AE792" s="52"/>
      <c r="AF792" s="52"/>
      <c r="AG792" s="52"/>
      <c r="AU792" s="108"/>
      <c r="AW792" s="108"/>
      <c r="BB792" s="108"/>
      <c r="BC792" s="108"/>
    </row>
    <row r="793">
      <c r="T793" s="136"/>
      <c r="X793" s="52"/>
      <c r="AE793" s="52"/>
      <c r="AF793" s="52"/>
      <c r="AG793" s="52"/>
      <c r="AU793" s="108"/>
      <c r="AW793" s="108"/>
      <c r="BB793" s="108"/>
      <c r="BC793" s="108"/>
    </row>
    <row r="794">
      <c r="T794" s="136"/>
      <c r="X794" s="52"/>
      <c r="AE794" s="52"/>
      <c r="AF794" s="52"/>
      <c r="AG794" s="52"/>
      <c r="AU794" s="108"/>
      <c r="AW794" s="108"/>
      <c r="BB794" s="108"/>
      <c r="BC794" s="108"/>
    </row>
    <row r="795">
      <c r="T795" s="136"/>
      <c r="X795" s="52"/>
      <c r="AE795" s="52"/>
      <c r="AF795" s="52"/>
      <c r="AG795" s="52"/>
      <c r="AU795" s="108"/>
      <c r="AW795" s="108"/>
      <c r="BB795" s="108"/>
      <c r="BC795" s="108"/>
    </row>
    <row r="796">
      <c r="T796" s="136"/>
      <c r="X796" s="52"/>
      <c r="AE796" s="52"/>
      <c r="AF796" s="52"/>
      <c r="AG796" s="52"/>
      <c r="AU796" s="108"/>
      <c r="AW796" s="108"/>
      <c r="BB796" s="108"/>
      <c r="BC796" s="108"/>
    </row>
    <row r="797">
      <c r="T797" s="136"/>
      <c r="X797" s="52"/>
      <c r="AE797" s="52"/>
      <c r="AF797" s="52"/>
      <c r="AG797" s="52"/>
      <c r="AU797" s="108"/>
      <c r="AW797" s="108"/>
      <c r="BB797" s="108"/>
      <c r="BC797" s="108"/>
    </row>
    <row r="798">
      <c r="T798" s="136"/>
      <c r="X798" s="52"/>
      <c r="AE798" s="52"/>
      <c r="AF798" s="52"/>
      <c r="AG798" s="52"/>
      <c r="AU798" s="108"/>
      <c r="AW798" s="108"/>
      <c r="BB798" s="108"/>
      <c r="BC798" s="108"/>
    </row>
    <row r="799">
      <c r="T799" s="136"/>
      <c r="X799" s="52"/>
      <c r="AE799" s="52"/>
      <c r="AF799" s="52"/>
      <c r="AG799" s="52"/>
      <c r="AU799" s="108"/>
      <c r="AW799" s="108"/>
      <c r="BB799" s="108"/>
      <c r="BC799" s="108"/>
    </row>
    <row r="800">
      <c r="T800" s="136"/>
      <c r="X800" s="52"/>
      <c r="AE800" s="52"/>
      <c r="AF800" s="52"/>
      <c r="AG800" s="52"/>
      <c r="AU800" s="108"/>
      <c r="AW800" s="108"/>
      <c r="BB800" s="108"/>
      <c r="BC800" s="108"/>
    </row>
    <row r="801">
      <c r="T801" s="136"/>
      <c r="X801" s="52"/>
      <c r="AE801" s="52"/>
      <c r="AF801" s="52"/>
      <c r="AG801" s="52"/>
      <c r="AU801" s="108"/>
      <c r="AW801" s="108"/>
      <c r="BB801" s="108"/>
      <c r="BC801" s="108"/>
    </row>
    <row r="802">
      <c r="T802" s="136"/>
      <c r="X802" s="52"/>
      <c r="AE802" s="52"/>
      <c r="AF802" s="52"/>
      <c r="AG802" s="52"/>
      <c r="AU802" s="108"/>
      <c r="AW802" s="108"/>
      <c r="BB802" s="108"/>
      <c r="BC802" s="108"/>
    </row>
    <row r="803">
      <c r="T803" s="136"/>
      <c r="X803" s="52"/>
      <c r="AE803" s="52"/>
      <c r="AF803" s="52"/>
      <c r="AG803" s="52"/>
      <c r="AU803" s="108"/>
      <c r="AW803" s="108"/>
      <c r="BB803" s="108"/>
      <c r="BC803" s="108"/>
    </row>
    <row r="804">
      <c r="T804" s="136"/>
      <c r="X804" s="52"/>
      <c r="AE804" s="52"/>
      <c r="AF804" s="52"/>
      <c r="AG804" s="52"/>
      <c r="AU804" s="108"/>
      <c r="AW804" s="108"/>
      <c r="BB804" s="108"/>
      <c r="BC804" s="108"/>
    </row>
    <row r="805">
      <c r="T805" s="136"/>
      <c r="X805" s="52"/>
      <c r="AE805" s="52"/>
      <c r="AF805" s="52"/>
      <c r="AG805" s="52"/>
      <c r="AU805" s="108"/>
      <c r="AW805" s="108"/>
      <c r="BB805" s="108"/>
      <c r="BC805" s="108"/>
    </row>
    <row r="806">
      <c r="T806" s="136"/>
      <c r="X806" s="52"/>
      <c r="AE806" s="52"/>
      <c r="AF806" s="52"/>
      <c r="AG806" s="52"/>
      <c r="AU806" s="108"/>
      <c r="AW806" s="108"/>
      <c r="BB806" s="108"/>
      <c r="BC806" s="108"/>
    </row>
    <row r="807">
      <c r="T807" s="136"/>
      <c r="X807" s="52"/>
      <c r="AE807" s="52"/>
      <c r="AF807" s="52"/>
      <c r="AG807" s="52"/>
      <c r="AU807" s="108"/>
      <c r="AW807" s="108"/>
      <c r="BB807" s="108"/>
      <c r="BC807" s="108"/>
    </row>
    <row r="808">
      <c r="T808" s="136"/>
      <c r="X808" s="52"/>
      <c r="AE808" s="52"/>
      <c r="AF808" s="52"/>
      <c r="AG808" s="52"/>
      <c r="AU808" s="108"/>
      <c r="AW808" s="108"/>
      <c r="BB808" s="108"/>
      <c r="BC808" s="108"/>
    </row>
    <row r="809">
      <c r="T809" s="136"/>
      <c r="X809" s="52"/>
      <c r="AE809" s="52"/>
      <c r="AF809" s="52"/>
      <c r="AG809" s="52"/>
      <c r="AU809" s="108"/>
      <c r="AW809" s="108"/>
      <c r="BB809" s="108"/>
      <c r="BC809" s="108"/>
    </row>
    <row r="810">
      <c r="T810" s="136"/>
      <c r="X810" s="52"/>
      <c r="AE810" s="52"/>
      <c r="AF810" s="52"/>
      <c r="AG810" s="52"/>
      <c r="AU810" s="108"/>
      <c r="AW810" s="108"/>
      <c r="BB810" s="108"/>
      <c r="BC810" s="108"/>
    </row>
    <row r="811">
      <c r="T811" s="136"/>
      <c r="X811" s="52"/>
      <c r="AE811" s="52"/>
      <c r="AF811" s="52"/>
      <c r="AG811" s="52"/>
      <c r="AU811" s="108"/>
      <c r="AW811" s="108"/>
      <c r="BB811" s="108"/>
      <c r="BC811" s="108"/>
    </row>
    <row r="812">
      <c r="T812" s="136"/>
      <c r="X812" s="52"/>
      <c r="AE812" s="52"/>
      <c r="AF812" s="52"/>
      <c r="AG812" s="52"/>
      <c r="AU812" s="108"/>
      <c r="AW812" s="108"/>
      <c r="BB812" s="108"/>
      <c r="BC812" s="108"/>
    </row>
    <row r="813">
      <c r="T813" s="136"/>
      <c r="X813" s="52"/>
      <c r="AE813" s="52"/>
      <c r="AF813" s="52"/>
      <c r="AG813" s="52"/>
      <c r="AU813" s="108"/>
      <c r="AW813" s="108"/>
      <c r="BB813" s="108"/>
      <c r="BC813" s="108"/>
    </row>
    <row r="814">
      <c r="T814" s="136"/>
      <c r="X814" s="52"/>
      <c r="AE814" s="52"/>
      <c r="AF814" s="52"/>
      <c r="AG814" s="52"/>
      <c r="AU814" s="108"/>
      <c r="AW814" s="108"/>
      <c r="BB814" s="108"/>
      <c r="BC814" s="108"/>
    </row>
    <row r="815">
      <c r="T815" s="136"/>
      <c r="X815" s="52"/>
      <c r="AE815" s="52"/>
      <c r="AF815" s="52"/>
      <c r="AG815" s="52"/>
      <c r="AU815" s="108"/>
      <c r="AW815" s="108"/>
      <c r="BB815" s="108"/>
      <c r="BC815" s="108"/>
    </row>
    <row r="816">
      <c r="T816" s="136"/>
      <c r="X816" s="52"/>
      <c r="AE816" s="52"/>
      <c r="AF816" s="52"/>
      <c r="AG816" s="52"/>
      <c r="AU816" s="108"/>
      <c r="AW816" s="108"/>
      <c r="BB816" s="108"/>
      <c r="BC816" s="108"/>
    </row>
    <row r="817">
      <c r="T817" s="136"/>
      <c r="X817" s="52"/>
      <c r="AE817" s="52"/>
      <c r="AF817" s="52"/>
      <c r="AG817" s="52"/>
      <c r="AU817" s="108"/>
      <c r="AW817" s="108"/>
      <c r="BB817" s="108"/>
      <c r="BC817" s="108"/>
    </row>
    <row r="818">
      <c r="T818" s="136"/>
      <c r="X818" s="52"/>
      <c r="AE818" s="52"/>
      <c r="AF818" s="52"/>
      <c r="AG818" s="52"/>
      <c r="AU818" s="108"/>
      <c r="AW818" s="108"/>
      <c r="BB818" s="108"/>
      <c r="BC818" s="108"/>
    </row>
    <row r="819">
      <c r="T819" s="136"/>
      <c r="X819" s="52"/>
      <c r="AE819" s="52"/>
      <c r="AF819" s="52"/>
      <c r="AG819" s="52"/>
      <c r="AU819" s="108"/>
      <c r="AW819" s="108"/>
      <c r="BB819" s="108"/>
      <c r="BC819" s="108"/>
    </row>
    <row r="820">
      <c r="T820" s="136"/>
      <c r="X820" s="52"/>
      <c r="AE820" s="52"/>
      <c r="AF820" s="52"/>
      <c r="AG820" s="52"/>
      <c r="AU820" s="108"/>
      <c r="AW820" s="108"/>
      <c r="BB820" s="108"/>
      <c r="BC820" s="108"/>
    </row>
    <row r="821">
      <c r="T821" s="136"/>
      <c r="X821" s="52"/>
      <c r="AE821" s="52"/>
      <c r="AF821" s="52"/>
      <c r="AG821" s="52"/>
      <c r="AU821" s="108"/>
      <c r="AW821" s="108"/>
      <c r="BB821" s="108"/>
      <c r="BC821" s="108"/>
    </row>
    <row r="822">
      <c r="T822" s="136"/>
      <c r="X822" s="52"/>
      <c r="AE822" s="52"/>
      <c r="AF822" s="52"/>
      <c r="AG822" s="52"/>
      <c r="AU822" s="108"/>
      <c r="AW822" s="108"/>
      <c r="BB822" s="108"/>
      <c r="BC822" s="108"/>
    </row>
    <row r="823">
      <c r="T823" s="136"/>
      <c r="X823" s="52"/>
      <c r="AE823" s="52"/>
      <c r="AF823" s="52"/>
      <c r="AG823" s="52"/>
      <c r="AU823" s="108"/>
      <c r="AW823" s="108"/>
      <c r="BB823" s="108"/>
      <c r="BC823" s="108"/>
    </row>
    <row r="824">
      <c r="T824" s="136"/>
      <c r="X824" s="52"/>
      <c r="AE824" s="52"/>
      <c r="AF824" s="52"/>
      <c r="AG824" s="52"/>
      <c r="AU824" s="108"/>
      <c r="AW824" s="108"/>
      <c r="BB824" s="108"/>
      <c r="BC824" s="108"/>
    </row>
    <row r="825">
      <c r="T825" s="136"/>
      <c r="X825" s="52"/>
      <c r="AE825" s="52"/>
      <c r="AF825" s="52"/>
      <c r="AG825" s="52"/>
      <c r="AU825" s="108"/>
      <c r="AW825" s="108"/>
      <c r="BB825" s="108"/>
      <c r="BC825" s="108"/>
    </row>
    <row r="826">
      <c r="T826" s="136"/>
      <c r="X826" s="52"/>
      <c r="AE826" s="52"/>
      <c r="AF826" s="52"/>
      <c r="AG826" s="52"/>
      <c r="AU826" s="108"/>
      <c r="AW826" s="108"/>
      <c r="BB826" s="108"/>
      <c r="BC826" s="108"/>
    </row>
    <row r="827">
      <c r="T827" s="136"/>
      <c r="X827" s="52"/>
      <c r="AE827" s="52"/>
      <c r="AF827" s="52"/>
      <c r="AG827" s="52"/>
      <c r="AU827" s="108"/>
      <c r="AW827" s="108"/>
      <c r="BB827" s="108"/>
      <c r="BC827" s="108"/>
    </row>
    <row r="828">
      <c r="T828" s="136"/>
      <c r="X828" s="52"/>
      <c r="AE828" s="52"/>
      <c r="AF828" s="52"/>
      <c r="AG828" s="52"/>
      <c r="AU828" s="108"/>
      <c r="AW828" s="108"/>
      <c r="BB828" s="108"/>
      <c r="BC828" s="108"/>
    </row>
    <row r="829">
      <c r="T829" s="136"/>
      <c r="X829" s="52"/>
      <c r="AE829" s="52"/>
      <c r="AF829" s="52"/>
      <c r="AG829" s="52"/>
      <c r="AU829" s="108"/>
      <c r="AW829" s="108"/>
      <c r="BB829" s="108"/>
      <c r="BC829" s="108"/>
    </row>
    <row r="830">
      <c r="T830" s="136"/>
      <c r="X830" s="52"/>
      <c r="AE830" s="52"/>
      <c r="AF830" s="52"/>
      <c r="AG830" s="52"/>
      <c r="AU830" s="108"/>
      <c r="AW830" s="108"/>
      <c r="BB830" s="108"/>
      <c r="BC830" s="108"/>
    </row>
    <row r="831">
      <c r="T831" s="136"/>
      <c r="X831" s="52"/>
      <c r="AE831" s="52"/>
      <c r="AF831" s="52"/>
      <c r="AG831" s="52"/>
      <c r="AU831" s="108"/>
      <c r="AW831" s="108"/>
      <c r="BB831" s="108"/>
      <c r="BC831" s="108"/>
    </row>
    <row r="832">
      <c r="T832" s="136"/>
      <c r="X832" s="52"/>
      <c r="AE832" s="52"/>
      <c r="AF832" s="52"/>
      <c r="AG832" s="52"/>
      <c r="AU832" s="108"/>
      <c r="AW832" s="108"/>
      <c r="BB832" s="108"/>
      <c r="BC832" s="108"/>
    </row>
    <row r="833">
      <c r="T833" s="136"/>
      <c r="X833" s="52"/>
      <c r="AE833" s="52"/>
      <c r="AF833" s="52"/>
      <c r="AG833" s="52"/>
      <c r="AU833" s="108"/>
      <c r="AW833" s="108"/>
      <c r="BB833" s="108"/>
      <c r="BC833" s="108"/>
    </row>
    <row r="834">
      <c r="T834" s="136"/>
      <c r="X834" s="52"/>
      <c r="AE834" s="52"/>
      <c r="AF834" s="52"/>
      <c r="AG834" s="52"/>
      <c r="AU834" s="108"/>
      <c r="AW834" s="108"/>
      <c r="BB834" s="108"/>
      <c r="BC834" s="108"/>
    </row>
    <row r="835">
      <c r="T835" s="136"/>
      <c r="X835" s="52"/>
      <c r="AE835" s="52"/>
      <c r="AF835" s="52"/>
      <c r="AG835" s="52"/>
      <c r="AU835" s="108"/>
      <c r="AW835" s="108"/>
      <c r="BB835" s="108"/>
      <c r="BC835" s="108"/>
    </row>
    <row r="836">
      <c r="T836" s="136"/>
      <c r="X836" s="52"/>
      <c r="AE836" s="52"/>
      <c r="AF836" s="52"/>
      <c r="AG836" s="52"/>
      <c r="AU836" s="108"/>
      <c r="AW836" s="108"/>
      <c r="BB836" s="108"/>
      <c r="BC836" s="108"/>
    </row>
    <row r="837">
      <c r="T837" s="136"/>
      <c r="X837" s="52"/>
      <c r="AE837" s="52"/>
      <c r="AF837" s="52"/>
      <c r="AG837" s="52"/>
      <c r="AU837" s="108"/>
      <c r="AW837" s="108"/>
      <c r="BB837" s="108"/>
      <c r="BC837" s="108"/>
    </row>
    <row r="838">
      <c r="T838" s="136"/>
      <c r="X838" s="52"/>
      <c r="AE838" s="52"/>
      <c r="AF838" s="52"/>
      <c r="AG838" s="52"/>
      <c r="AU838" s="108"/>
      <c r="AW838" s="108"/>
      <c r="BB838" s="108"/>
      <c r="BC838" s="108"/>
    </row>
    <row r="839">
      <c r="T839" s="136"/>
      <c r="X839" s="52"/>
      <c r="AE839" s="52"/>
      <c r="AF839" s="52"/>
      <c r="AG839" s="52"/>
      <c r="AU839" s="108"/>
      <c r="AW839" s="108"/>
      <c r="BB839" s="108"/>
      <c r="BC839" s="108"/>
    </row>
    <row r="840">
      <c r="T840" s="136"/>
      <c r="X840" s="52"/>
      <c r="AE840" s="52"/>
      <c r="AF840" s="52"/>
      <c r="AG840" s="52"/>
      <c r="AU840" s="108"/>
      <c r="AW840" s="108"/>
      <c r="BB840" s="108"/>
      <c r="BC840" s="108"/>
    </row>
    <row r="841">
      <c r="T841" s="136"/>
      <c r="X841" s="52"/>
      <c r="AE841" s="52"/>
      <c r="AF841" s="52"/>
      <c r="AG841" s="52"/>
      <c r="AU841" s="108"/>
      <c r="AW841" s="108"/>
      <c r="BB841" s="108"/>
      <c r="BC841" s="108"/>
    </row>
    <row r="842">
      <c r="T842" s="136"/>
      <c r="X842" s="52"/>
      <c r="AE842" s="52"/>
      <c r="AF842" s="52"/>
      <c r="AG842" s="52"/>
      <c r="AU842" s="108"/>
      <c r="AW842" s="108"/>
      <c r="BB842" s="108"/>
      <c r="BC842" s="108"/>
    </row>
    <row r="843">
      <c r="T843" s="136"/>
      <c r="X843" s="52"/>
      <c r="AE843" s="52"/>
      <c r="AF843" s="52"/>
      <c r="AG843" s="52"/>
      <c r="AU843" s="108"/>
      <c r="AW843" s="108"/>
      <c r="BB843" s="108"/>
      <c r="BC843" s="108"/>
    </row>
    <row r="844">
      <c r="T844" s="136"/>
      <c r="X844" s="52"/>
      <c r="AE844" s="52"/>
      <c r="AF844" s="52"/>
      <c r="AG844" s="52"/>
      <c r="AU844" s="108"/>
      <c r="AW844" s="108"/>
      <c r="BB844" s="108"/>
      <c r="BC844" s="108"/>
    </row>
    <row r="845">
      <c r="T845" s="136"/>
      <c r="X845" s="52"/>
      <c r="AE845" s="52"/>
      <c r="AF845" s="52"/>
      <c r="AG845" s="52"/>
      <c r="AU845" s="108"/>
      <c r="AW845" s="108"/>
      <c r="BB845" s="108"/>
      <c r="BC845" s="108"/>
    </row>
    <row r="846">
      <c r="T846" s="136"/>
      <c r="X846" s="52"/>
      <c r="AE846" s="52"/>
      <c r="AF846" s="52"/>
      <c r="AG846" s="52"/>
      <c r="AU846" s="108"/>
      <c r="AW846" s="108"/>
      <c r="BB846" s="108"/>
      <c r="BC846" s="108"/>
    </row>
    <row r="847">
      <c r="T847" s="136"/>
      <c r="X847" s="52"/>
      <c r="AE847" s="52"/>
      <c r="AF847" s="52"/>
      <c r="AG847" s="52"/>
      <c r="AU847" s="108"/>
      <c r="AW847" s="108"/>
      <c r="BB847" s="108"/>
      <c r="BC847" s="108"/>
    </row>
    <row r="848">
      <c r="T848" s="136"/>
      <c r="X848" s="52"/>
      <c r="AE848" s="52"/>
      <c r="AF848" s="52"/>
      <c r="AG848" s="52"/>
      <c r="AU848" s="108"/>
      <c r="AW848" s="108"/>
      <c r="BB848" s="108"/>
      <c r="BC848" s="108"/>
    </row>
    <row r="849">
      <c r="T849" s="136"/>
      <c r="X849" s="52"/>
      <c r="AE849" s="52"/>
      <c r="AF849" s="52"/>
      <c r="AG849" s="52"/>
      <c r="AU849" s="108"/>
      <c r="AW849" s="108"/>
      <c r="BB849" s="108"/>
      <c r="BC849" s="108"/>
    </row>
    <row r="850">
      <c r="T850" s="136"/>
      <c r="X850" s="52"/>
      <c r="AE850" s="52"/>
      <c r="AF850" s="52"/>
      <c r="AG850" s="52"/>
      <c r="AU850" s="108"/>
      <c r="AW850" s="108"/>
      <c r="BB850" s="108"/>
      <c r="BC850" s="108"/>
    </row>
    <row r="851">
      <c r="T851" s="136"/>
      <c r="X851" s="52"/>
      <c r="AE851" s="52"/>
      <c r="AF851" s="52"/>
      <c r="AG851" s="52"/>
      <c r="AU851" s="108"/>
      <c r="AW851" s="108"/>
      <c r="BB851" s="108"/>
      <c r="BC851" s="108"/>
    </row>
    <row r="852">
      <c r="T852" s="136"/>
      <c r="X852" s="52"/>
      <c r="AE852" s="52"/>
      <c r="AF852" s="52"/>
      <c r="AG852" s="52"/>
      <c r="AU852" s="108"/>
      <c r="AW852" s="108"/>
      <c r="BB852" s="108"/>
      <c r="BC852" s="108"/>
    </row>
    <row r="853">
      <c r="T853" s="136"/>
      <c r="X853" s="52"/>
      <c r="AE853" s="52"/>
      <c r="AF853" s="52"/>
      <c r="AG853" s="52"/>
      <c r="AU853" s="108"/>
      <c r="AW853" s="108"/>
      <c r="BB853" s="108"/>
      <c r="BC853" s="108"/>
    </row>
    <row r="854">
      <c r="T854" s="136"/>
      <c r="X854" s="52"/>
      <c r="AE854" s="52"/>
      <c r="AF854" s="52"/>
      <c r="AG854" s="52"/>
      <c r="AU854" s="108"/>
      <c r="AW854" s="108"/>
      <c r="BB854" s="108"/>
      <c r="BC854" s="108"/>
    </row>
    <row r="855">
      <c r="T855" s="136"/>
      <c r="X855" s="52"/>
      <c r="AE855" s="52"/>
      <c r="AF855" s="52"/>
      <c r="AG855" s="52"/>
      <c r="AU855" s="108"/>
      <c r="AW855" s="108"/>
      <c r="BB855" s="108"/>
      <c r="BC855" s="108"/>
    </row>
    <row r="856">
      <c r="T856" s="136"/>
      <c r="X856" s="52"/>
      <c r="AE856" s="52"/>
      <c r="AF856" s="52"/>
      <c r="AG856" s="52"/>
      <c r="AU856" s="108"/>
      <c r="AW856" s="108"/>
      <c r="BB856" s="108"/>
      <c r="BC856" s="108"/>
    </row>
    <row r="857">
      <c r="T857" s="136"/>
      <c r="X857" s="52"/>
      <c r="AE857" s="52"/>
      <c r="AF857" s="52"/>
      <c r="AG857" s="52"/>
      <c r="AU857" s="108"/>
      <c r="AW857" s="108"/>
      <c r="BB857" s="108"/>
      <c r="BC857" s="108"/>
    </row>
    <row r="858">
      <c r="T858" s="136"/>
      <c r="X858" s="52"/>
      <c r="AE858" s="52"/>
      <c r="AF858" s="52"/>
      <c r="AG858" s="52"/>
      <c r="AU858" s="108"/>
      <c r="AW858" s="108"/>
      <c r="BB858" s="108"/>
      <c r="BC858" s="108"/>
    </row>
    <row r="859">
      <c r="T859" s="136"/>
      <c r="X859" s="52"/>
      <c r="AE859" s="52"/>
      <c r="AF859" s="52"/>
      <c r="AG859" s="52"/>
      <c r="AU859" s="108"/>
      <c r="AW859" s="108"/>
      <c r="BB859" s="108"/>
      <c r="BC859" s="108"/>
    </row>
    <row r="860">
      <c r="T860" s="136"/>
      <c r="X860" s="52"/>
      <c r="AE860" s="52"/>
      <c r="AF860" s="52"/>
      <c r="AG860" s="52"/>
      <c r="AU860" s="108"/>
      <c r="AW860" s="108"/>
      <c r="BB860" s="108"/>
      <c r="BC860" s="108"/>
    </row>
    <row r="861">
      <c r="T861" s="136"/>
      <c r="X861" s="52"/>
      <c r="AE861" s="52"/>
      <c r="AF861" s="52"/>
      <c r="AG861" s="52"/>
      <c r="AU861" s="108"/>
      <c r="AW861" s="108"/>
      <c r="BB861" s="108"/>
      <c r="BC861" s="108"/>
    </row>
    <row r="862">
      <c r="T862" s="136"/>
      <c r="X862" s="52"/>
      <c r="AE862" s="52"/>
      <c r="AF862" s="52"/>
      <c r="AG862" s="52"/>
      <c r="AU862" s="108"/>
      <c r="AW862" s="108"/>
      <c r="BB862" s="108"/>
      <c r="BC862" s="108"/>
    </row>
    <row r="863">
      <c r="T863" s="136"/>
      <c r="X863" s="52"/>
      <c r="AE863" s="52"/>
      <c r="AF863" s="52"/>
      <c r="AG863" s="52"/>
      <c r="AU863" s="108"/>
      <c r="AW863" s="108"/>
      <c r="BB863" s="108"/>
      <c r="BC863" s="108"/>
    </row>
    <row r="864">
      <c r="T864" s="136"/>
      <c r="X864" s="52"/>
      <c r="AE864" s="52"/>
      <c r="AF864" s="52"/>
      <c r="AG864" s="52"/>
      <c r="AU864" s="108"/>
      <c r="AW864" s="108"/>
      <c r="BB864" s="108"/>
      <c r="BC864" s="108"/>
    </row>
    <row r="865">
      <c r="T865" s="136"/>
      <c r="X865" s="52"/>
      <c r="AE865" s="52"/>
      <c r="AF865" s="52"/>
      <c r="AG865" s="52"/>
      <c r="AU865" s="108"/>
      <c r="AW865" s="108"/>
      <c r="BB865" s="108"/>
      <c r="BC865" s="108"/>
    </row>
    <row r="866">
      <c r="T866" s="136"/>
      <c r="X866" s="52"/>
      <c r="AE866" s="52"/>
      <c r="AF866" s="52"/>
      <c r="AG866" s="52"/>
      <c r="AU866" s="108"/>
      <c r="AW866" s="108"/>
      <c r="BB866" s="108"/>
      <c r="BC866" s="108"/>
    </row>
    <row r="867">
      <c r="T867" s="136"/>
      <c r="X867" s="52"/>
      <c r="AE867" s="52"/>
      <c r="AF867" s="52"/>
      <c r="AG867" s="52"/>
      <c r="AU867" s="108"/>
      <c r="AW867" s="108"/>
      <c r="BB867" s="108"/>
      <c r="BC867" s="108"/>
    </row>
    <row r="868">
      <c r="T868" s="136"/>
      <c r="X868" s="52"/>
      <c r="AE868" s="52"/>
      <c r="AF868" s="52"/>
      <c r="AG868" s="52"/>
      <c r="AU868" s="108"/>
      <c r="AW868" s="108"/>
      <c r="BB868" s="108"/>
      <c r="BC868" s="108"/>
    </row>
    <row r="869">
      <c r="T869" s="136"/>
      <c r="X869" s="52"/>
      <c r="AE869" s="52"/>
      <c r="AF869" s="52"/>
      <c r="AG869" s="52"/>
      <c r="AU869" s="108"/>
      <c r="AW869" s="108"/>
      <c r="BB869" s="108"/>
      <c r="BC869" s="108"/>
    </row>
    <row r="870">
      <c r="T870" s="136"/>
      <c r="X870" s="52"/>
      <c r="AE870" s="52"/>
      <c r="AF870" s="52"/>
      <c r="AG870" s="52"/>
      <c r="AU870" s="108"/>
      <c r="AW870" s="108"/>
      <c r="BB870" s="108"/>
      <c r="BC870" s="108"/>
    </row>
    <row r="871">
      <c r="T871" s="136"/>
      <c r="X871" s="52"/>
      <c r="AE871" s="52"/>
      <c r="AF871" s="52"/>
      <c r="AG871" s="52"/>
      <c r="AU871" s="108"/>
      <c r="AW871" s="108"/>
      <c r="BB871" s="108"/>
      <c r="BC871" s="108"/>
    </row>
    <row r="872">
      <c r="T872" s="136"/>
      <c r="X872" s="52"/>
      <c r="AE872" s="52"/>
      <c r="AF872" s="52"/>
      <c r="AG872" s="52"/>
      <c r="AU872" s="108"/>
      <c r="AW872" s="108"/>
      <c r="BB872" s="108"/>
      <c r="BC872" s="108"/>
    </row>
    <row r="873">
      <c r="T873" s="136"/>
      <c r="X873" s="52"/>
      <c r="AE873" s="52"/>
      <c r="AF873" s="52"/>
      <c r="AG873" s="52"/>
      <c r="AU873" s="108"/>
      <c r="AW873" s="108"/>
      <c r="BB873" s="108"/>
      <c r="BC873" s="108"/>
    </row>
    <row r="874">
      <c r="T874" s="136"/>
      <c r="X874" s="52"/>
      <c r="AE874" s="52"/>
      <c r="AF874" s="52"/>
      <c r="AG874" s="52"/>
      <c r="AU874" s="108"/>
      <c r="AW874" s="108"/>
      <c r="BB874" s="108"/>
      <c r="BC874" s="108"/>
    </row>
    <row r="875">
      <c r="T875" s="136"/>
      <c r="X875" s="52"/>
      <c r="AE875" s="52"/>
      <c r="AF875" s="52"/>
      <c r="AG875" s="52"/>
      <c r="AU875" s="108"/>
      <c r="AW875" s="108"/>
      <c r="BB875" s="108"/>
      <c r="BC875" s="108"/>
    </row>
    <row r="876">
      <c r="T876" s="136"/>
      <c r="X876" s="52"/>
      <c r="AE876" s="52"/>
      <c r="AF876" s="52"/>
      <c r="AG876" s="52"/>
      <c r="AU876" s="108"/>
      <c r="AW876" s="108"/>
      <c r="BB876" s="108"/>
      <c r="BC876" s="108"/>
    </row>
    <row r="877">
      <c r="T877" s="136"/>
      <c r="X877" s="52"/>
      <c r="AE877" s="52"/>
      <c r="AF877" s="52"/>
      <c r="AG877" s="52"/>
      <c r="AU877" s="108"/>
      <c r="AW877" s="108"/>
      <c r="BB877" s="108"/>
      <c r="BC877" s="108"/>
    </row>
    <row r="878">
      <c r="T878" s="136"/>
      <c r="X878" s="52"/>
      <c r="AE878" s="52"/>
      <c r="AF878" s="52"/>
      <c r="AG878" s="52"/>
      <c r="AU878" s="108"/>
      <c r="AW878" s="108"/>
      <c r="BB878" s="108"/>
      <c r="BC878" s="108"/>
    </row>
    <row r="879">
      <c r="T879" s="136"/>
      <c r="X879" s="52"/>
      <c r="AE879" s="52"/>
      <c r="AF879" s="52"/>
      <c r="AG879" s="52"/>
      <c r="AU879" s="108"/>
      <c r="AW879" s="108"/>
      <c r="BB879" s="108"/>
      <c r="BC879" s="108"/>
    </row>
    <row r="880">
      <c r="T880" s="136"/>
      <c r="X880" s="52"/>
      <c r="AE880" s="52"/>
      <c r="AF880" s="52"/>
      <c r="AG880" s="52"/>
      <c r="AU880" s="108"/>
      <c r="AW880" s="108"/>
      <c r="BB880" s="108"/>
      <c r="BC880" s="108"/>
    </row>
    <row r="881">
      <c r="T881" s="136"/>
      <c r="X881" s="52"/>
      <c r="AE881" s="52"/>
      <c r="AF881" s="52"/>
      <c r="AG881" s="52"/>
      <c r="AU881" s="108"/>
      <c r="AW881" s="108"/>
      <c r="BB881" s="108"/>
      <c r="BC881" s="108"/>
    </row>
    <row r="882">
      <c r="T882" s="136"/>
      <c r="X882" s="52"/>
      <c r="AE882" s="52"/>
      <c r="AF882" s="52"/>
      <c r="AG882" s="52"/>
      <c r="AU882" s="108"/>
      <c r="AW882" s="108"/>
      <c r="BB882" s="108"/>
      <c r="BC882" s="108"/>
    </row>
    <row r="883">
      <c r="T883" s="136"/>
      <c r="X883" s="52"/>
      <c r="AE883" s="52"/>
      <c r="AF883" s="52"/>
      <c r="AG883" s="52"/>
      <c r="AU883" s="108"/>
      <c r="AW883" s="108"/>
      <c r="BB883" s="108"/>
      <c r="BC883" s="108"/>
    </row>
    <row r="884">
      <c r="T884" s="136"/>
      <c r="X884" s="52"/>
      <c r="AE884" s="52"/>
      <c r="AF884" s="52"/>
      <c r="AG884" s="52"/>
      <c r="AU884" s="108"/>
      <c r="AW884" s="108"/>
      <c r="BB884" s="108"/>
      <c r="BC884" s="108"/>
    </row>
    <row r="885">
      <c r="T885" s="136"/>
      <c r="X885" s="52"/>
      <c r="AE885" s="52"/>
      <c r="AF885" s="52"/>
      <c r="AG885" s="52"/>
      <c r="AU885" s="108"/>
      <c r="AW885" s="108"/>
      <c r="BB885" s="108"/>
      <c r="BC885" s="108"/>
    </row>
    <row r="886">
      <c r="T886" s="136"/>
      <c r="X886" s="52"/>
      <c r="AE886" s="52"/>
      <c r="AF886" s="52"/>
      <c r="AG886" s="52"/>
      <c r="AU886" s="108"/>
      <c r="AW886" s="108"/>
      <c r="BB886" s="108"/>
      <c r="BC886" s="108"/>
    </row>
    <row r="887">
      <c r="T887" s="136"/>
      <c r="X887" s="52"/>
      <c r="AE887" s="52"/>
      <c r="AF887" s="52"/>
      <c r="AG887" s="52"/>
      <c r="AU887" s="108"/>
      <c r="AW887" s="108"/>
      <c r="BB887" s="108"/>
      <c r="BC887" s="108"/>
    </row>
    <row r="888">
      <c r="T888" s="136"/>
      <c r="X888" s="52"/>
      <c r="AE888" s="52"/>
      <c r="AF888" s="52"/>
      <c r="AG888" s="52"/>
      <c r="AU888" s="108"/>
      <c r="AW888" s="108"/>
      <c r="BB888" s="108"/>
      <c r="BC888" s="108"/>
    </row>
    <row r="889">
      <c r="T889" s="136"/>
      <c r="X889" s="52"/>
      <c r="AE889" s="52"/>
      <c r="AF889" s="52"/>
      <c r="AG889" s="52"/>
      <c r="AU889" s="108"/>
      <c r="AW889" s="108"/>
      <c r="BB889" s="108"/>
      <c r="BC889" s="108"/>
    </row>
    <row r="890">
      <c r="T890" s="136"/>
      <c r="X890" s="52"/>
      <c r="AE890" s="52"/>
      <c r="AF890" s="52"/>
      <c r="AG890" s="52"/>
      <c r="AU890" s="108"/>
      <c r="AW890" s="108"/>
      <c r="BB890" s="108"/>
      <c r="BC890" s="108"/>
    </row>
    <row r="891">
      <c r="T891" s="136"/>
      <c r="X891" s="52"/>
      <c r="AE891" s="52"/>
      <c r="AF891" s="52"/>
      <c r="AG891" s="52"/>
      <c r="AU891" s="108"/>
      <c r="AW891" s="108"/>
      <c r="BB891" s="108"/>
      <c r="BC891" s="108"/>
    </row>
    <row r="892">
      <c r="T892" s="136"/>
      <c r="X892" s="52"/>
      <c r="AE892" s="52"/>
      <c r="AF892" s="52"/>
      <c r="AG892" s="52"/>
      <c r="AU892" s="108"/>
      <c r="AW892" s="108"/>
      <c r="BB892" s="108"/>
      <c r="BC892" s="108"/>
    </row>
    <row r="893">
      <c r="T893" s="136"/>
      <c r="X893" s="52"/>
      <c r="AE893" s="52"/>
      <c r="AF893" s="52"/>
      <c r="AG893" s="52"/>
      <c r="AU893" s="108"/>
      <c r="AW893" s="108"/>
      <c r="BB893" s="108"/>
      <c r="BC893" s="108"/>
    </row>
    <row r="894">
      <c r="T894" s="136"/>
      <c r="X894" s="52"/>
      <c r="AE894" s="52"/>
      <c r="AF894" s="52"/>
      <c r="AG894" s="52"/>
      <c r="AU894" s="108"/>
      <c r="AW894" s="108"/>
      <c r="BB894" s="108"/>
      <c r="BC894" s="108"/>
    </row>
    <row r="895">
      <c r="T895" s="136"/>
      <c r="X895" s="52"/>
      <c r="AE895" s="52"/>
      <c r="AF895" s="52"/>
      <c r="AG895" s="52"/>
      <c r="AU895" s="108"/>
      <c r="AW895" s="108"/>
      <c r="BB895" s="108"/>
      <c r="BC895" s="108"/>
    </row>
    <row r="896">
      <c r="T896" s="136"/>
      <c r="X896" s="52"/>
      <c r="AE896" s="52"/>
      <c r="AF896" s="52"/>
      <c r="AG896" s="52"/>
      <c r="AU896" s="108"/>
      <c r="AW896" s="108"/>
      <c r="BB896" s="108"/>
      <c r="BC896" s="108"/>
    </row>
    <row r="897">
      <c r="T897" s="136"/>
      <c r="X897" s="52"/>
      <c r="AE897" s="52"/>
      <c r="AF897" s="52"/>
      <c r="AG897" s="52"/>
      <c r="AU897" s="108"/>
      <c r="AW897" s="108"/>
      <c r="BB897" s="108"/>
      <c r="BC897" s="108"/>
    </row>
    <row r="898">
      <c r="T898" s="136"/>
      <c r="X898" s="52"/>
      <c r="AE898" s="52"/>
      <c r="AF898" s="52"/>
      <c r="AG898" s="52"/>
      <c r="AU898" s="108"/>
      <c r="AW898" s="108"/>
      <c r="BB898" s="108"/>
      <c r="BC898" s="108"/>
    </row>
    <row r="899">
      <c r="T899" s="136"/>
      <c r="X899" s="52"/>
      <c r="AE899" s="52"/>
      <c r="AF899" s="52"/>
      <c r="AG899" s="52"/>
      <c r="AU899" s="108"/>
      <c r="AW899" s="108"/>
      <c r="BB899" s="108"/>
      <c r="BC899" s="108"/>
    </row>
    <row r="900">
      <c r="T900" s="136"/>
      <c r="X900" s="52"/>
      <c r="AE900" s="52"/>
      <c r="AF900" s="52"/>
      <c r="AG900" s="52"/>
      <c r="AU900" s="108"/>
      <c r="AW900" s="108"/>
      <c r="BB900" s="108"/>
      <c r="BC900" s="108"/>
    </row>
    <row r="901">
      <c r="T901" s="136"/>
      <c r="X901" s="52"/>
      <c r="AE901" s="52"/>
      <c r="AF901" s="52"/>
      <c r="AG901" s="52"/>
      <c r="AU901" s="108"/>
      <c r="AW901" s="108"/>
      <c r="BB901" s="108"/>
      <c r="BC901" s="108"/>
    </row>
    <row r="902">
      <c r="T902" s="136"/>
      <c r="X902" s="52"/>
      <c r="AE902" s="52"/>
      <c r="AF902" s="52"/>
      <c r="AG902" s="52"/>
      <c r="AU902" s="108"/>
      <c r="AW902" s="108"/>
      <c r="BB902" s="108"/>
      <c r="BC902" s="108"/>
    </row>
    <row r="903">
      <c r="T903" s="136"/>
      <c r="X903" s="52"/>
      <c r="AE903" s="52"/>
      <c r="AF903" s="52"/>
      <c r="AG903" s="52"/>
      <c r="AU903" s="108"/>
      <c r="AW903" s="108"/>
      <c r="BB903" s="108"/>
      <c r="BC903" s="108"/>
    </row>
    <row r="904">
      <c r="T904" s="136"/>
      <c r="X904" s="52"/>
      <c r="AE904" s="52"/>
      <c r="AF904" s="52"/>
      <c r="AG904" s="52"/>
      <c r="AU904" s="108"/>
      <c r="AW904" s="108"/>
      <c r="BB904" s="108"/>
      <c r="BC904" s="108"/>
    </row>
    <row r="905">
      <c r="T905" s="136"/>
      <c r="X905" s="52"/>
      <c r="AE905" s="52"/>
      <c r="AF905" s="52"/>
      <c r="AG905" s="52"/>
      <c r="AU905" s="108"/>
      <c r="AW905" s="108"/>
      <c r="BB905" s="108"/>
      <c r="BC905" s="108"/>
    </row>
    <row r="906">
      <c r="T906" s="136"/>
      <c r="X906" s="52"/>
      <c r="AE906" s="52"/>
      <c r="AF906" s="52"/>
      <c r="AG906" s="52"/>
      <c r="AU906" s="108"/>
      <c r="AW906" s="108"/>
      <c r="BB906" s="108"/>
      <c r="BC906" s="108"/>
    </row>
    <row r="907">
      <c r="T907" s="136"/>
      <c r="X907" s="52"/>
      <c r="AE907" s="52"/>
      <c r="AF907" s="52"/>
      <c r="AG907" s="52"/>
      <c r="AU907" s="108"/>
      <c r="AW907" s="108"/>
      <c r="BB907" s="108"/>
      <c r="BC907" s="108"/>
    </row>
    <row r="908">
      <c r="T908" s="136"/>
      <c r="X908" s="52"/>
      <c r="AE908" s="52"/>
      <c r="AF908" s="52"/>
      <c r="AG908" s="52"/>
      <c r="AU908" s="108"/>
      <c r="AW908" s="108"/>
      <c r="BB908" s="108"/>
      <c r="BC908" s="108"/>
    </row>
    <row r="909">
      <c r="T909" s="136"/>
      <c r="X909" s="52"/>
      <c r="AE909" s="52"/>
      <c r="AF909" s="52"/>
      <c r="AG909" s="52"/>
      <c r="AU909" s="108"/>
      <c r="AW909" s="108"/>
      <c r="BB909" s="108"/>
      <c r="BC909" s="108"/>
    </row>
    <row r="910">
      <c r="T910" s="136"/>
      <c r="X910" s="52"/>
      <c r="AE910" s="52"/>
      <c r="AF910" s="52"/>
      <c r="AG910" s="52"/>
      <c r="AU910" s="108"/>
      <c r="AW910" s="108"/>
      <c r="BB910" s="108"/>
      <c r="BC910" s="108"/>
    </row>
    <row r="911">
      <c r="T911" s="136"/>
      <c r="X911" s="52"/>
      <c r="AE911" s="52"/>
      <c r="AF911" s="52"/>
      <c r="AG911" s="52"/>
      <c r="AU911" s="108"/>
      <c r="AW911" s="108"/>
      <c r="BB911" s="108"/>
      <c r="BC911" s="108"/>
    </row>
    <row r="912">
      <c r="T912" s="136"/>
      <c r="X912" s="52"/>
      <c r="AE912" s="52"/>
      <c r="AF912" s="52"/>
      <c r="AG912" s="52"/>
      <c r="AU912" s="108"/>
      <c r="AW912" s="108"/>
      <c r="BB912" s="108"/>
      <c r="BC912" s="108"/>
    </row>
    <row r="913">
      <c r="T913" s="136"/>
      <c r="X913" s="52"/>
      <c r="AE913" s="52"/>
      <c r="AF913" s="52"/>
      <c r="AG913" s="52"/>
      <c r="AU913" s="108"/>
      <c r="AW913" s="108"/>
      <c r="BB913" s="108"/>
      <c r="BC913" s="108"/>
    </row>
    <row r="914">
      <c r="T914" s="136"/>
      <c r="X914" s="52"/>
      <c r="AE914" s="52"/>
      <c r="AF914" s="52"/>
      <c r="AG914" s="52"/>
      <c r="AU914" s="108"/>
      <c r="AW914" s="108"/>
      <c r="BB914" s="108"/>
      <c r="BC914" s="108"/>
    </row>
    <row r="915">
      <c r="T915" s="136"/>
      <c r="X915" s="52"/>
      <c r="AE915" s="52"/>
      <c r="AF915" s="52"/>
      <c r="AG915" s="52"/>
      <c r="AU915" s="108"/>
      <c r="AW915" s="108"/>
      <c r="BB915" s="108"/>
      <c r="BC915" s="108"/>
    </row>
    <row r="916">
      <c r="T916" s="136"/>
      <c r="X916" s="52"/>
      <c r="AE916" s="52"/>
      <c r="AF916" s="52"/>
      <c r="AG916" s="52"/>
      <c r="AU916" s="108"/>
      <c r="AW916" s="108"/>
      <c r="BB916" s="108"/>
      <c r="BC916" s="108"/>
    </row>
    <row r="917">
      <c r="T917" s="136"/>
      <c r="X917" s="52"/>
      <c r="AE917" s="52"/>
      <c r="AF917" s="52"/>
      <c r="AG917" s="52"/>
      <c r="AU917" s="108"/>
      <c r="AW917" s="108"/>
      <c r="BB917" s="108"/>
      <c r="BC917" s="108"/>
    </row>
    <row r="918">
      <c r="T918" s="136"/>
      <c r="X918" s="52"/>
      <c r="AE918" s="52"/>
      <c r="AF918" s="52"/>
      <c r="AG918" s="52"/>
      <c r="AU918" s="108"/>
      <c r="AW918" s="108"/>
      <c r="BB918" s="108"/>
      <c r="BC918" s="108"/>
    </row>
    <row r="919">
      <c r="T919" s="136"/>
      <c r="X919" s="52"/>
      <c r="AE919" s="52"/>
      <c r="AF919" s="52"/>
      <c r="AG919" s="52"/>
      <c r="AU919" s="108"/>
      <c r="AW919" s="108"/>
      <c r="BB919" s="108"/>
      <c r="BC919" s="108"/>
    </row>
    <row r="920">
      <c r="T920" s="136"/>
      <c r="X920" s="52"/>
      <c r="AE920" s="52"/>
      <c r="AF920" s="52"/>
      <c r="AG920" s="52"/>
      <c r="AU920" s="108"/>
      <c r="AW920" s="108"/>
      <c r="BB920" s="108"/>
      <c r="BC920" s="108"/>
    </row>
    <row r="921">
      <c r="T921" s="136"/>
      <c r="X921" s="52"/>
      <c r="AE921" s="52"/>
      <c r="AF921" s="52"/>
      <c r="AG921" s="52"/>
      <c r="AU921" s="108"/>
      <c r="AW921" s="108"/>
      <c r="BB921" s="108"/>
      <c r="BC921" s="108"/>
    </row>
    <row r="922">
      <c r="T922" s="136"/>
      <c r="X922" s="52"/>
      <c r="AE922" s="52"/>
      <c r="AF922" s="52"/>
      <c r="AG922" s="52"/>
      <c r="AU922" s="108"/>
      <c r="AW922" s="108"/>
      <c r="BB922" s="108"/>
      <c r="BC922" s="108"/>
    </row>
    <row r="923">
      <c r="T923" s="136"/>
      <c r="X923" s="52"/>
      <c r="AE923" s="52"/>
      <c r="AF923" s="52"/>
      <c r="AG923" s="52"/>
      <c r="AU923" s="108"/>
      <c r="AW923" s="108"/>
      <c r="BB923" s="108"/>
      <c r="BC923" s="108"/>
    </row>
    <row r="924">
      <c r="T924" s="136"/>
      <c r="X924" s="52"/>
      <c r="AE924" s="52"/>
      <c r="AF924" s="52"/>
      <c r="AG924" s="52"/>
      <c r="AU924" s="108"/>
      <c r="AW924" s="108"/>
      <c r="BB924" s="108"/>
      <c r="BC924" s="108"/>
    </row>
    <row r="925">
      <c r="T925" s="136"/>
      <c r="X925" s="52"/>
      <c r="AE925" s="52"/>
      <c r="AF925" s="52"/>
      <c r="AG925" s="52"/>
      <c r="AU925" s="108"/>
      <c r="AW925" s="108"/>
      <c r="BB925" s="108"/>
      <c r="BC925" s="108"/>
    </row>
    <row r="926">
      <c r="T926" s="136"/>
      <c r="X926" s="52"/>
      <c r="AE926" s="52"/>
      <c r="AF926" s="52"/>
      <c r="AG926" s="52"/>
      <c r="AU926" s="108"/>
      <c r="AW926" s="108"/>
      <c r="BB926" s="108"/>
      <c r="BC926" s="108"/>
    </row>
    <row r="927">
      <c r="T927" s="136"/>
      <c r="X927" s="52"/>
      <c r="AE927" s="52"/>
      <c r="AF927" s="52"/>
      <c r="AG927" s="52"/>
      <c r="AU927" s="108"/>
      <c r="AW927" s="108"/>
      <c r="BB927" s="108"/>
      <c r="BC927" s="108"/>
    </row>
    <row r="928">
      <c r="T928" s="136"/>
      <c r="X928" s="52"/>
      <c r="AE928" s="52"/>
      <c r="AF928" s="52"/>
      <c r="AG928" s="52"/>
      <c r="AU928" s="108"/>
      <c r="AW928" s="108"/>
      <c r="BB928" s="108"/>
      <c r="BC928" s="108"/>
    </row>
    <row r="929">
      <c r="T929" s="136"/>
      <c r="X929" s="52"/>
      <c r="AE929" s="52"/>
      <c r="AF929" s="52"/>
      <c r="AG929" s="52"/>
      <c r="AU929" s="108"/>
      <c r="AW929" s="108"/>
      <c r="BB929" s="108"/>
      <c r="BC929" s="108"/>
    </row>
    <row r="930">
      <c r="T930" s="136"/>
      <c r="X930" s="52"/>
      <c r="AE930" s="52"/>
      <c r="AF930" s="52"/>
      <c r="AG930" s="52"/>
      <c r="AU930" s="108"/>
      <c r="AW930" s="108"/>
      <c r="BB930" s="108"/>
      <c r="BC930" s="108"/>
    </row>
    <row r="931">
      <c r="T931" s="136"/>
      <c r="X931" s="52"/>
      <c r="AE931" s="52"/>
      <c r="AF931" s="52"/>
      <c r="AG931" s="52"/>
      <c r="AU931" s="108"/>
      <c r="AW931" s="108"/>
      <c r="BB931" s="108"/>
      <c r="BC931" s="108"/>
    </row>
    <row r="932">
      <c r="T932" s="136"/>
      <c r="X932" s="52"/>
      <c r="AE932" s="52"/>
      <c r="AF932" s="52"/>
      <c r="AG932" s="52"/>
      <c r="AU932" s="108"/>
      <c r="AW932" s="108"/>
      <c r="BB932" s="108"/>
      <c r="BC932" s="108"/>
    </row>
    <row r="933">
      <c r="T933" s="136"/>
      <c r="X933" s="52"/>
      <c r="AE933" s="52"/>
      <c r="AF933" s="52"/>
      <c r="AG933" s="52"/>
      <c r="AU933" s="108"/>
      <c r="AW933" s="108"/>
      <c r="BB933" s="108"/>
      <c r="BC933" s="108"/>
    </row>
    <row r="934">
      <c r="T934" s="136"/>
      <c r="X934" s="52"/>
      <c r="AE934" s="52"/>
      <c r="AF934" s="52"/>
      <c r="AG934" s="52"/>
      <c r="AU934" s="108"/>
      <c r="AW934" s="108"/>
      <c r="BB934" s="108"/>
      <c r="BC934" s="108"/>
    </row>
    <row r="935">
      <c r="T935" s="136"/>
      <c r="X935" s="52"/>
      <c r="AE935" s="52"/>
      <c r="AF935" s="52"/>
      <c r="AG935" s="52"/>
      <c r="AU935" s="108"/>
      <c r="AW935" s="108"/>
      <c r="BB935" s="108"/>
      <c r="BC935" s="108"/>
    </row>
    <row r="936">
      <c r="T936" s="136"/>
      <c r="X936" s="52"/>
      <c r="AE936" s="52"/>
      <c r="AF936" s="52"/>
      <c r="AG936" s="52"/>
      <c r="AU936" s="108"/>
      <c r="AW936" s="108"/>
      <c r="BB936" s="108"/>
      <c r="BC936" s="108"/>
    </row>
    <row r="937">
      <c r="T937" s="136"/>
      <c r="X937" s="52"/>
      <c r="AE937" s="52"/>
      <c r="AF937" s="52"/>
      <c r="AG937" s="52"/>
      <c r="AU937" s="108"/>
      <c r="AW937" s="108"/>
      <c r="BB937" s="108"/>
      <c r="BC937" s="108"/>
    </row>
    <row r="938">
      <c r="T938" s="136"/>
      <c r="X938" s="52"/>
      <c r="AE938" s="52"/>
      <c r="AF938" s="52"/>
      <c r="AG938" s="52"/>
      <c r="AU938" s="108"/>
      <c r="AW938" s="108"/>
      <c r="BB938" s="108"/>
      <c r="BC938" s="108"/>
    </row>
    <row r="939">
      <c r="T939" s="136"/>
      <c r="X939" s="52"/>
      <c r="AE939" s="52"/>
      <c r="AF939" s="52"/>
      <c r="AG939" s="52"/>
      <c r="AU939" s="108"/>
      <c r="AW939" s="108"/>
      <c r="BB939" s="108"/>
      <c r="BC939" s="108"/>
    </row>
    <row r="940">
      <c r="T940" s="136"/>
      <c r="X940" s="52"/>
      <c r="AE940" s="52"/>
      <c r="AF940" s="52"/>
      <c r="AG940" s="52"/>
      <c r="AU940" s="108"/>
      <c r="AW940" s="108"/>
      <c r="BB940" s="108"/>
      <c r="BC940" s="108"/>
    </row>
    <row r="941">
      <c r="T941" s="136"/>
      <c r="X941" s="52"/>
      <c r="AE941" s="52"/>
      <c r="AF941" s="52"/>
      <c r="AG941" s="52"/>
      <c r="AU941" s="108"/>
      <c r="AW941" s="108"/>
      <c r="BB941" s="108"/>
      <c r="BC941" s="108"/>
    </row>
    <row r="942">
      <c r="T942" s="136"/>
      <c r="X942" s="52"/>
      <c r="AE942" s="52"/>
      <c r="AF942" s="52"/>
      <c r="AG942" s="52"/>
      <c r="AU942" s="108"/>
      <c r="AW942" s="108"/>
      <c r="BB942" s="108"/>
      <c r="BC942" s="108"/>
    </row>
    <row r="943">
      <c r="T943" s="136"/>
      <c r="X943" s="52"/>
      <c r="AE943" s="52"/>
      <c r="AF943" s="52"/>
      <c r="AG943" s="52"/>
      <c r="AU943" s="108"/>
      <c r="AW943" s="108"/>
      <c r="BB943" s="108"/>
      <c r="BC943" s="108"/>
    </row>
    <row r="944">
      <c r="T944" s="136"/>
      <c r="X944" s="52"/>
      <c r="AE944" s="52"/>
      <c r="AF944" s="52"/>
      <c r="AG944" s="52"/>
      <c r="AU944" s="108"/>
      <c r="AW944" s="108"/>
      <c r="BB944" s="108"/>
      <c r="BC944" s="108"/>
    </row>
    <row r="945">
      <c r="T945" s="136"/>
      <c r="X945" s="52"/>
      <c r="AE945" s="52"/>
      <c r="AF945" s="52"/>
      <c r="AG945" s="52"/>
      <c r="AU945" s="108"/>
      <c r="AW945" s="108"/>
      <c r="BB945" s="108"/>
      <c r="BC945" s="108"/>
    </row>
    <row r="946">
      <c r="T946" s="136"/>
      <c r="X946" s="52"/>
      <c r="AE946" s="52"/>
      <c r="AF946" s="52"/>
      <c r="AG946" s="52"/>
      <c r="AU946" s="108"/>
      <c r="AW946" s="108"/>
      <c r="BB946" s="108"/>
      <c r="BC946" s="108"/>
    </row>
    <row r="947">
      <c r="T947" s="136"/>
      <c r="X947" s="52"/>
      <c r="AE947" s="52"/>
      <c r="AF947" s="52"/>
      <c r="AG947" s="52"/>
      <c r="AU947" s="108"/>
      <c r="AW947" s="108"/>
      <c r="BB947" s="108"/>
      <c r="BC947" s="108"/>
    </row>
    <row r="948">
      <c r="T948" s="136"/>
      <c r="X948" s="52"/>
      <c r="AE948" s="52"/>
      <c r="AF948" s="52"/>
      <c r="AG948" s="52"/>
      <c r="AU948" s="108"/>
      <c r="AW948" s="108"/>
      <c r="BB948" s="108"/>
      <c r="BC948" s="108"/>
    </row>
    <row r="949">
      <c r="T949" s="136"/>
      <c r="X949" s="52"/>
      <c r="AE949" s="52"/>
      <c r="AF949" s="52"/>
      <c r="AG949" s="52"/>
      <c r="AU949" s="108"/>
      <c r="AW949" s="108"/>
      <c r="BB949" s="108"/>
      <c r="BC949" s="108"/>
    </row>
    <row r="950">
      <c r="T950" s="136"/>
      <c r="X950" s="52"/>
      <c r="AE950" s="52"/>
      <c r="AF950" s="52"/>
      <c r="AG950" s="52"/>
      <c r="AU950" s="108"/>
      <c r="AW950" s="108"/>
      <c r="BB950" s="108"/>
      <c r="BC950" s="108"/>
    </row>
    <row r="951">
      <c r="T951" s="136"/>
      <c r="X951" s="52"/>
      <c r="AE951" s="52"/>
      <c r="AF951" s="52"/>
      <c r="AG951" s="52"/>
      <c r="AU951" s="108"/>
      <c r="AW951" s="108"/>
      <c r="BB951" s="108"/>
      <c r="BC951" s="108"/>
    </row>
    <row r="952">
      <c r="T952" s="136"/>
      <c r="X952" s="52"/>
      <c r="AE952" s="52"/>
      <c r="AF952" s="52"/>
      <c r="AG952" s="52"/>
      <c r="AU952" s="108"/>
      <c r="AW952" s="108"/>
      <c r="BB952" s="108"/>
      <c r="BC952" s="108"/>
    </row>
    <row r="953">
      <c r="T953" s="136"/>
      <c r="X953" s="52"/>
      <c r="AE953" s="52"/>
      <c r="AF953" s="52"/>
      <c r="AG953" s="52"/>
      <c r="AU953" s="108"/>
      <c r="AW953" s="108"/>
      <c r="BB953" s="108"/>
      <c r="BC953" s="108"/>
    </row>
    <row r="954">
      <c r="T954" s="136"/>
      <c r="X954" s="52"/>
      <c r="AE954" s="52"/>
      <c r="AF954" s="52"/>
      <c r="AG954" s="52"/>
      <c r="AU954" s="108"/>
      <c r="AW954" s="108"/>
      <c r="BB954" s="108"/>
      <c r="BC954" s="108"/>
    </row>
    <row r="955">
      <c r="T955" s="136"/>
      <c r="X955" s="52"/>
      <c r="AE955" s="52"/>
      <c r="AF955" s="52"/>
      <c r="AG955" s="52"/>
      <c r="AU955" s="108"/>
      <c r="AW955" s="108"/>
      <c r="BB955" s="108"/>
      <c r="BC955" s="108"/>
    </row>
    <row r="956">
      <c r="T956" s="136"/>
      <c r="X956" s="52"/>
      <c r="AE956" s="52"/>
      <c r="AF956" s="52"/>
      <c r="AG956" s="52"/>
      <c r="AU956" s="108"/>
      <c r="AW956" s="108"/>
      <c r="BB956" s="108"/>
      <c r="BC956" s="108"/>
    </row>
    <row r="957">
      <c r="T957" s="136"/>
      <c r="X957" s="52"/>
      <c r="AE957" s="52"/>
      <c r="AF957" s="52"/>
      <c r="AG957" s="52"/>
      <c r="AU957" s="108"/>
      <c r="AW957" s="108"/>
      <c r="BB957" s="108"/>
      <c r="BC957" s="108"/>
    </row>
    <row r="958">
      <c r="T958" s="136"/>
      <c r="X958" s="52"/>
      <c r="AE958" s="52"/>
      <c r="AF958" s="52"/>
      <c r="AG958" s="52"/>
      <c r="AU958" s="108"/>
      <c r="AW958" s="108"/>
      <c r="BB958" s="108"/>
      <c r="BC958" s="108"/>
    </row>
    <row r="959">
      <c r="T959" s="136"/>
      <c r="X959" s="52"/>
      <c r="AE959" s="52"/>
      <c r="AF959" s="52"/>
      <c r="AG959" s="52"/>
      <c r="AU959" s="108"/>
      <c r="AW959" s="108"/>
      <c r="BB959" s="108"/>
      <c r="BC959" s="108"/>
    </row>
    <row r="960">
      <c r="T960" s="136"/>
      <c r="X960" s="52"/>
      <c r="AE960" s="52"/>
      <c r="AF960" s="52"/>
      <c r="AG960" s="52"/>
      <c r="AU960" s="108"/>
      <c r="AW960" s="108"/>
      <c r="BB960" s="108"/>
      <c r="BC960" s="108"/>
    </row>
    <row r="961">
      <c r="T961" s="136"/>
      <c r="X961" s="52"/>
      <c r="AE961" s="52"/>
      <c r="AF961" s="52"/>
      <c r="AG961" s="52"/>
      <c r="AU961" s="108"/>
      <c r="AW961" s="108"/>
      <c r="BB961" s="108"/>
      <c r="BC961" s="108"/>
    </row>
    <row r="962">
      <c r="T962" s="136"/>
      <c r="X962" s="52"/>
      <c r="AE962" s="52"/>
      <c r="AF962" s="52"/>
      <c r="AG962" s="52"/>
      <c r="AU962" s="108"/>
      <c r="AW962" s="108"/>
      <c r="BB962" s="108"/>
      <c r="BC962" s="108"/>
    </row>
    <row r="963">
      <c r="T963" s="136"/>
      <c r="X963" s="52"/>
      <c r="AE963" s="52"/>
      <c r="AF963" s="52"/>
      <c r="AG963" s="52"/>
      <c r="AU963" s="108"/>
      <c r="AW963" s="108"/>
      <c r="BB963" s="108"/>
      <c r="BC963" s="108"/>
    </row>
    <row r="964">
      <c r="T964" s="136"/>
      <c r="X964" s="52"/>
      <c r="AE964" s="52"/>
      <c r="AF964" s="52"/>
      <c r="AG964" s="52"/>
      <c r="AU964" s="108"/>
      <c r="AW964" s="108"/>
      <c r="BB964" s="108"/>
      <c r="BC964" s="108"/>
    </row>
    <row r="965">
      <c r="T965" s="136"/>
      <c r="X965" s="52"/>
      <c r="AE965" s="52"/>
      <c r="AF965" s="52"/>
      <c r="AG965" s="52"/>
      <c r="AU965" s="108"/>
      <c r="AW965" s="108"/>
      <c r="BB965" s="108"/>
      <c r="BC965" s="108"/>
    </row>
    <row r="966">
      <c r="T966" s="136"/>
      <c r="X966" s="52"/>
      <c r="AE966" s="52"/>
      <c r="AF966" s="52"/>
      <c r="AG966" s="52"/>
      <c r="AU966" s="108"/>
      <c r="AW966" s="108"/>
      <c r="BB966" s="108"/>
      <c r="BC966" s="108"/>
    </row>
    <row r="967">
      <c r="T967" s="136"/>
      <c r="X967" s="52"/>
      <c r="AE967" s="52"/>
      <c r="AF967" s="52"/>
      <c r="AG967" s="52"/>
      <c r="AU967" s="108"/>
      <c r="AW967" s="108"/>
      <c r="BB967" s="108"/>
      <c r="BC967" s="108"/>
    </row>
    <row r="968">
      <c r="T968" s="136"/>
      <c r="X968" s="52"/>
      <c r="AE968" s="52"/>
      <c r="AF968" s="52"/>
      <c r="AG968" s="52"/>
      <c r="AU968" s="108"/>
      <c r="AW968" s="108"/>
      <c r="BB968" s="108"/>
      <c r="BC968" s="108"/>
    </row>
    <row r="969">
      <c r="T969" s="136"/>
      <c r="X969" s="52"/>
      <c r="AE969" s="52"/>
      <c r="AF969" s="52"/>
      <c r="AG969" s="52"/>
      <c r="AU969" s="108"/>
      <c r="AW969" s="108"/>
      <c r="BB969" s="108"/>
      <c r="BC969" s="108"/>
    </row>
    <row r="970">
      <c r="T970" s="136"/>
      <c r="X970" s="52"/>
      <c r="AE970" s="52"/>
      <c r="AF970" s="52"/>
      <c r="AG970" s="52"/>
      <c r="AU970" s="108"/>
      <c r="AW970" s="108"/>
      <c r="BB970" s="108"/>
      <c r="BC970" s="108"/>
    </row>
    <row r="971">
      <c r="T971" s="136"/>
      <c r="X971" s="52"/>
      <c r="AE971" s="52"/>
      <c r="AF971" s="52"/>
      <c r="AG971" s="52"/>
      <c r="AU971" s="108"/>
      <c r="AW971" s="108"/>
      <c r="BB971" s="108"/>
      <c r="BC971" s="108"/>
    </row>
    <row r="972">
      <c r="T972" s="136"/>
      <c r="X972" s="52"/>
      <c r="AE972" s="52"/>
      <c r="AF972" s="52"/>
      <c r="AG972" s="52"/>
      <c r="AU972" s="108"/>
      <c r="AW972" s="108"/>
      <c r="BB972" s="108"/>
      <c r="BC972" s="108"/>
    </row>
    <row r="973">
      <c r="T973" s="136"/>
      <c r="X973" s="52"/>
      <c r="AE973" s="52"/>
      <c r="AF973" s="52"/>
      <c r="AG973" s="52"/>
      <c r="AU973" s="108"/>
      <c r="AW973" s="108"/>
      <c r="BB973" s="108"/>
      <c r="BC973" s="108"/>
    </row>
    <row r="974">
      <c r="T974" s="136"/>
      <c r="X974" s="52"/>
      <c r="AE974" s="52"/>
      <c r="AF974" s="52"/>
      <c r="AG974" s="52"/>
      <c r="AU974" s="108"/>
      <c r="AW974" s="108"/>
      <c r="BB974" s="108"/>
      <c r="BC974" s="108"/>
    </row>
    <row r="975">
      <c r="T975" s="136"/>
      <c r="X975" s="52"/>
      <c r="AE975" s="52"/>
      <c r="AF975" s="52"/>
      <c r="AG975" s="52"/>
      <c r="AU975" s="108"/>
      <c r="AW975" s="108"/>
      <c r="BB975" s="108"/>
      <c r="BC975" s="108"/>
    </row>
    <row r="976">
      <c r="T976" s="136"/>
      <c r="X976" s="52"/>
      <c r="AE976" s="52"/>
      <c r="AF976" s="52"/>
      <c r="AG976" s="52"/>
      <c r="AU976" s="108"/>
      <c r="AW976" s="108"/>
      <c r="BB976" s="108"/>
      <c r="BC976" s="108"/>
    </row>
    <row r="977">
      <c r="T977" s="136"/>
      <c r="X977" s="52"/>
      <c r="AE977" s="52"/>
      <c r="AF977" s="52"/>
      <c r="AG977" s="52"/>
      <c r="AU977" s="108"/>
      <c r="AW977" s="108"/>
      <c r="BB977" s="108"/>
      <c r="BC977" s="108"/>
    </row>
    <row r="978">
      <c r="T978" s="136"/>
      <c r="X978" s="52"/>
      <c r="AE978" s="52"/>
      <c r="AF978" s="52"/>
      <c r="AG978" s="52"/>
      <c r="AU978" s="108"/>
      <c r="AW978" s="108"/>
      <c r="BB978" s="108"/>
      <c r="BC978" s="108"/>
    </row>
    <row r="979">
      <c r="T979" s="136"/>
      <c r="X979" s="52"/>
      <c r="AE979" s="52"/>
      <c r="AF979" s="52"/>
      <c r="AG979" s="52"/>
      <c r="AU979" s="108"/>
      <c r="AW979" s="108"/>
      <c r="BB979" s="108"/>
      <c r="BC979" s="108"/>
    </row>
    <row r="980">
      <c r="T980" s="136"/>
      <c r="X980" s="52"/>
      <c r="AE980" s="52"/>
      <c r="AF980" s="52"/>
      <c r="AG980" s="52"/>
      <c r="AU980" s="108"/>
      <c r="AW980" s="108"/>
      <c r="BB980" s="108"/>
      <c r="BC980" s="108"/>
    </row>
    <row r="981">
      <c r="T981" s="136"/>
      <c r="X981" s="52"/>
      <c r="AE981" s="52"/>
      <c r="AF981" s="52"/>
      <c r="AG981" s="52"/>
      <c r="AU981" s="108"/>
      <c r="AW981" s="108"/>
      <c r="BB981" s="108"/>
      <c r="BC981" s="108"/>
    </row>
    <row r="982">
      <c r="T982" s="136"/>
      <c r="X982" s="52"/>
      <c r="AE982" s="52"/>
      <c r="AF982" s="52"/>
      <c r="AG982" s="52"/>
      <c r="AU982" s="108"/>
      <c r="AW982" s="108"/>
      <c r="BB982" s="108"/>
      <c r="BC982" s="108"/>
    </row>
    <row r="983">
      <c r="T983" s="136"/>
      <c r="X983" s="52"/>
      <c r="AE983" s="52"/>
      <c r="AF983" s="52"/>
      <c r="AG983" s="52"/>
      <c r="AU983" s="108"/>
      <c r="AW983" s="108"/>
      <c r="BB983" s="108"/>
      <c r="BC983" s="108"/>
    </row>
    <row r="984">
      <c r="T984" s="136"/>
      <c r="X984" s="52"/>
      <c r="AE984" s="52"/>
      <c r="AF984" s="52"/>
      <c r="AG984" s="52"/>
      <c r="AU984" s="108"/>
      <c r="AW984" s="108"/>
      <c r="BB984" s="108"/>
      <c r="BC984" s="108"/>
    </row>
    <row r="985">
      <c r="T985" s="136"/>
      <c r="X985" s="52"/>
      <c r="AE985" s="52"/>
      <c r="AF985" s="52"/>
      <c r="AG985" s="52"/>
      <c r="AU985" s="108"/>
      <c r="AW985" s="108"/>
      <c r="BB985" s="108"/>
      <c r="BC985" s="108"/>
    </row>
    <row r="986">
      <c r="T986" s="136"/>
      <c r="X986" s="52"/>
      <c r="AE986" s="52"/>
      <c r="AF986" s="52"/>
      <c r="AG986" s="52"/>
      <c r="AU986" s="108"/>
      <c r="AW986" s="108"/>
      <c r="BB986" s="108"/>
      <c r="BC986" s="108"/>
    </row>
    <row r="987">
      <c r="T987" s="136"/>
      <c r="X987" s="52"/>
      <c r="AE987" s="52"/>
      <c r="AF987" s="52"/>
      <c r="AG987" s="52"/>
      <c r="AU987" s="108"/>
      <c r="AW987" s="108"/>
      <c r="BB987" s="108"/>
      <c r="BC987" s="108"/>
    </row>
    <row r="988">
      <c r="T988" s="136"/>
      <c r="X988" s="52"/>
      <c r="AE988" s="52"/>
      <c r="AF988" s="52"/>
      <c r="AG988" s="52"/>
      <c r="AU988" s="108"/>
      <c r="AW988" s="108"/>
      <c r="BB988" s="108"/>
      <c r="BC988" s="108"/>
    </row>
    <row r="989">
      <c r="T989" s="136"/>
      <c r="X989" s="52"/>
      <c r="AE989" s="52"/>
      <c r="AF989" s="52"/>
      <c r="AG989" s="52"/>
      <c r="AU989" s="108"/>
      <c r="AW989" s="108"/>
      <c r="BB989" s="108"/>
      <c r="BC989" s="108"/>
    </row>
    <row r="990">
      <c r="T990" s="136"/>
      <c r="X990" s="52"/>
      <c r="AE990" s="52"/>
      <c r="AF990" s="52"/>
      <c r="AG990" s="52"/>
      <c r="AU990" s="108"/>
      <c r="AW990" s="108"/>
      <c r="BB990" s="108"/>
      <c r="BC990" s="108"/>
    </row>
    <row r="991">
      <c r="T991" s="136"/>
      <c r="X991" s="52"/>
      <c r="AE991" s="52"/>
      <c r="AF991" s="52"/>
      <c r="AG991" s="52"/>
      <c r="AU991" s="108"/>
      <c r="AW991" s="108"/>
      <c r="BB991" s="108"/>
      <c r="BC991" s="108"/>
    </row>
    <row r="992">
      <c r="T992" s="136"/>
      <c r="X992" s="52"/>
      <c r="AE992" s="52"/>
      <c r="AF992" s="52"/>
      <c r="AG992" s="52"/>
      <c r="AU992" s="108"/>
      <c r="AW992" s="108"/>
      <c r="BB992" s="108"/>
      <c r="BC992" s="108"/>
    </row>
    <row r="993">
      <c r="T993" s="136"/>
      <c r="X993" s="52"/>
      <c r="AE993" s="52"/>
      <c r="AF993" s="52"/>
      <c r="AG993" s="52"/>
      <c r="AU993" s="108"/>
      <c r="AW993" s="108"/>
      <c r="BB993" s="108"/>
      <c r="BC993" s="108"/>
    </row>
    <row r="994">
      <c r="T994" s="136"/>
      <c r="X994" s="52"/>
      <c r="AE994" s="52"/>
      <c r="AF994" s="52"/>
      <c r="AG994" s="52"/>
      <c r="AU994" s="108"/>
      <c r="AW994" s="108"/>
      <c r="BB994" s="108"/>
      <c r="BC994" s="108"/>
    </row>
    <row r="995">
      <c r="T995" s="136"/>
      <c r="X995" s="52"/>
      <c r="AE995" s="52"/>
      <c r="AF995" s="52"/>
      <c r="AG995" s="52"/>
      <c r="AU995" s="108"/>
      <c r="AW995" s="108"/>
      <c r="BB995" s="108"/>
      <c r="BC995" s="108"/>
    </row>
    <row r="996">
      <c r="T996" s="136"/>
      <c r="X996" s="52"/>
      <c r="AE996" s="52"/>
      <c r="AF996" s="52"/>
      <c r="AG996" s="52"/>
      <c r="AU996" s="108"/>
      <c r="AW996" s="108"/>
      <c r="BB996" s="108"/>
      <c r="BC996" s="108"/>
    </row>
    <row r="997">
      <c r="T997" s="136"/>
      <c r="X997" s="52"/>
      <c r="AE997" s="52"/>
      <c r="AF997" s="52"/>
      <c r="AG997" s="52"/>
      <c r="AU997" s="108"/>
      <c r="AW997" s="108"/>
      <c r="BB997" s="108"/>
      <c r="BC997" s="108"/>
    </row>
    <row r="998">
      <c r="T998" s="136"/>
      <c r="X998" s="52"/>
      <c r="AE998" s="52"/>
      <c r="AF998" s="52"/>
      <c r="AG998" s="52"/>
      <c r="AU998" s="108"/>
      <c r="AW998" s="108"/>
      <c r="BB998" s="108"/>
      <c r="BC998" s="108"/>
    </row>
    <row r="999">
      <c r="T999" s="136"/>
      <c r="X999" s="52"/>
      <c r="AE999" s="52"/>
      <c r="AF999" s="52"/>
      <c r="AG999" s="52"/>
      <c r="AU999" s="108"/>
      <c r="AW999" s="108"/>
      <c r="BB999" s="108"/>
      <c r="BC999" s="108"/>
    </row>
    <row r="1000">
      <c r="T1000" s="136"/>
      <c r="X1000" s="52"/>
      <c r="AE1000" s="52"/>
      <c r="AF1000" s="52"/>
      <c r="AG1000" s="52"/>
      <c r="AU1000" s="108"/>
      <c r="AW1000" s="108"/>
      <c r="BB1000" s="108"/>
      <c r="BC1000" s="108"/>
    </row>
    <row r="1001">
      <c r="T1001" s="136"/>
      <c r="X1001" s="52"/>
      <c r="AE1001" s="52"/>
      <c r="AF1001" s="52"/>
      <c r="AG1001" s="52"/>
      <c r="AU1001" s="108"/>
      <c r="AW1001" s="108"/>
      <c r="BB1001" s="108"/>
      <c r="BC1001" s="108"/>
    </row>
    <row r="1002">
      <c r="T1002" s="136"/>
      <c r="X1002" s="52"/>
      <c r="AE1002" s="52"/>
      <c r="AF1002" s="52"/>
      <c r="AG1002" s="52"/>
      <c r="AU1002" s="108"/>
      <c r="AW1002" s="108"/>
      <c r="BB1002" s="108"/>
      <c r="BC1002" s="108"/>
    </row>
    <row r="1003">
      <c r="T1003" s="136"/>
      <c r="X1003" s="52"/>
      <c r="AE1003" s="52"/>
      <c r="AF1003" s="52"/>
      <c r="AG1003" s="52"/>
      <c r="AU1003" s="108"/>
      <c r="AW1003" s="108"/>
      <c r="BB1003" s="108"/>
      <c r="BC1003" s="108"/>
    </row>
    <row r="1004">
      <c r="T1004" s="136"/>
      <c r="X1004" s="52"/>
      <c r="AE1004" s="52"/>
      <c r="AF1004" s="52"/>
      <c r="AG1004" s="52"/>
      <c r="AU1004" s="108"/>
      <c r="AW1004" s="108"/>
      <c r="BB1004" s="108"/>
      <c r="BC1004" s="108"/>
    </row>
    <row r="1005">
      <c r="T1005" s="136"/>
      <c r="X1005" s="52"/>
      <c r="AE1005" s="52"/>
      <c r="AF1005" s="52"/>
      <c r="AG1005" s="52"/>
      <c r="AU1005" s="108"/>
      <c r="AW1005" s="108"/>
      <c r="BB1005" s="108"/>
      <c r="BC1005" s="108"/>
    </row>
    <row r="1006">
      <c r="T1006" s="136"/>
      <c r="X1006" s="52"/>
      <c r="AE1006" s="52"/>
      <c r="AF1006" s="52"/>
      <c r="AG1006" s="52"/>
      <c r="AU1006" s="108"/>
      <c r="AW1006" s="108"/>
      <c r="BB1006" s="108"/>
      <c r="BC1006" s="108"/>
    </row>
    <row r="1007">
      <c r="T1007" s="136"/>
      <c r="X1007" s="52"/>
      <c r="AE1007" s="52"/>
      <c r="AF1007" s="52"/>
      <c r="AG1007" s="52"/>
      <c r="AU1007" s="108"/>
      <c r="AW1007" s="108"/>
      <c r="BB1007" s="108"/>
      <c r="BC1007" s="108"/>
    </row>
    <row r="1008">
      <c r="T1008" s="136"/>
      <c r="X1008" s="52"/>
      <c r="AE1008" s="52"/>
      <c r="AF1008" s="52"/>
      <c r="AG1008" s="52"/>
      <c r="AU1008" s="108"/>
      <c r="AW1008" s="108"/>
      <c r="BB1008" s="108"/>
      <c r="BC1008" s="108"/>
    </row>
    <row r="1009">
      <c r="T1009" s="136"/>
      <c r="X1009" s="52"/>
      <c r="AE1009" s="52"/>
      <c r="AF1009" s="52"/>
      <c r="AG1009" s="52"/>
      <c r="AU1009" s="108"/>
      <c r="AW1009" s="108"/>
      <c r="BB1009" s="108"/>
      <c r="BC1009" s="108"/>
    </row>
    <row r="1010">
      <c r="T1010" s="136"/>
      <c r="X1010" s="52"/>
      <c r="AE1010" s="52"/>
      <c r="AF1010" s="52"/>
      <c r="AG1010" s="52"/>
      <c r="AU1010" s="108"/>
      <c r="AW1010" s="108"/>
      <c r="BB1010" s="108"/>
      <c r="BC1010" s="108"/>
    </row>
    <row r="1011">
      <c r="T1011" s="136"/>
      <c r="X1011" s="52"/>
      <c r="AE1011" s="52"/>
      <c r="AF1011" s="52"/>
      <c r="AG1011" s="52"/>
      <c r="AU1011" s="108"/>
      <c r="AW1011" s="108"/>
      <c r="BB1011" s="108"/>
      <c r="BC1011" s="108"/>
    </row>
    <row r="1012">
      <c r="T1012" s="136"/>
      <c r="X1012" s="52"/>
      <c r="AE1012" s="52"/>
      <c r="AF1012" s="52"/>
      <c r="AG1012" s="52"/>
      <c r="AU1012" s="108"/>
      <c r="AW1012" s="108"/>
      <c r="BB1012" s="108"/>
      <c r="BC1012" s="108"/>
    </row>
    <row r="1013">
      <c r="T1013" s="136"/>
      <c r="X1013" s="52"/>
      <c r="AE1013" s="52"/>
      <c r="AF1013" s="52"/>
      <c r="AG1013" s="52"/>
      <c r="AU1013" s="108"/>
      <c r="AW1013" s="108"/>
      <c r="BB1013" s="108"/>
      <c r="BC1013" s="108"/>
    </row>
    <row r="1014">
      <c r="T1014" s="136"/>
      <c r="X1014" s="52"/>
      <c r="AE1014" s="52"/>
      <c r="AF1014" s="52"/>
      <c r="AG1014" s="52"/>
      <c r="AU1014" s="108"/>
      <c r="AW1014" s="108"/>
      <c r="BB1014" s="108"/>
      <c r="BC1014" s="108"/>
    </row>
    <row r="1015">
      <c r="T1015" s="136"/>
      <c r="X1015" s="52"/>
      <c r="AE1015" s="52"/>
      <c r="AF1015" s="52"/>
      <c r="AG1015" s="52"/>
      <c r="AU1015" s="108"/>
      <c r="AW1015" s="108"/>
      <c r="BB1015" s="108"/>
      <c r="BC1015" s="108"/>
    </row>
    <row r="1016">
      <c r="T1016" s="136"/>
      <c r="X1016" s="52"/>
      <c r="AE1016" s="52"/>
      <c r="AF1016" s="52"/>
      <c r="AG1016" s="52"/>
      <c r="AU1016" s="108"/>
      <c r="AW1016" s="108"/>
      <c r="BB1016" s="108"/>
      <c r="BC1016" s="108"/>
    </row>
    <row r="1017">
      <c r="T1017" s="136"/>
      <c r="X1017" s="52"/>
      <c r="AE1017" s="52"/>
      <c r="AF1017" s="52"/>
      <c r="AG1017" s="52"/>
      <c r="AU1017" s="108"/>
      <c r="AW1017" s="108"/>
      <c r="BB1017" s="108"/>
      <c r="BC1017" s="108"/>
    </row>
    <row r="1018">
      <c r="T1018" s="136"/>
      <c r="X1018" s="52"/>
      <c r="AE1018" s="52"/>
      <c r="AF1018" s="52"/>
      <c r="AG1018" s="52"/>
      <c r="AU1018" s="108"/>
      <c r="AW1018" s="108"/>
      <c r="BB1018" s="108"/>
      <c r="BC1018" s="108"/>
    </row>
    <row r="1019">
      <c r="T1019" s="136"/>
      <c r="X1019" s="52"/>
      <c r="AE1019" s="52"/>
      <c r="AF1019" s="52"/>
      <c r="AG1019" s="52"/>
      <c r="AU1019" s="108"/>
      <c r="AW1019" s="108"/>
      <c r="BB1019" s="108"/>
      <c r="BC1019" s="108"/>
    </row>
    <row r="1020">
      <c r="T1020" s="136"/>
      <c r="X1020" s="52"/>
      <c r="AE1020" s="52"/>
      <c r="AF1020" s="52"/>
      <c r="AG1020" s="52"/>
      <c r="AU1020" s="108"/>
      <c r="AW1020" s="108"/>
      <c r="BB1020" s="108"/>
      <c r="BC1020" s="108"/>
    </row>
    <row r="1021">
      <c r="T1021" s="136"/>
      <c r="X1021" s="52"/>
      <c r="AE1021" s="52"/>
      <c r="AF1021" s="52"/>
      <c r="AG1021" s="52"/>
      <c r="AU1021" s="108"/>
      <c r="AW1021" s="108"/>
      <c r="BB1021" s="108"/>
      <c r="BC1021" s="108"/>
    </row>
    <row r="1022">
      <c r="T1022" s="136"/>
      <c r="X1022" s="52"/>
      <c r="AE1022" s="52"/>
      <c r="AF1022" s="52"/>
      <c r="AG1022" s="52"/>
      <c r="AU1022" s="108"/>
      <c r="AW1022" s="108"/>
      <c r="BB1022" s="108"/>
      <c r="BC1022" s="108"/>
    </row>
    <row r="1023">
      <c r="T1023" s="136"/>
      <c r="X1023" s="52"/>
      <c r="AE1023" s="52"/>
      <c r="AF1023" s="52"/>
      <c r="AG1023" s="52"/>
      <c r="AU1023" s="108"/>
      <c r="AW1023" s="108"/>
      <c r="BB1023" s="108"/>
      <c r="BC1023" s="108"/>
    </row>
    <row r="1024">
      <c r="T1024" s="136"/>
      <c r="X1024" s="52"/>
      <c r="AE1024" s="52"/>
      <c r="AF1024" s="52"/>
      <c r="AG1024" s="52"/>
      <c r="AU1024" s="108"/>
      <c r="AW1024" s="108"/>
      <c r="BB1024" s="108"/>
      <c r="BC1024" s="108"/>
    </row>
    <row r="1025">
      <c r="T1025" s="136"/>
      <c r="X1025" s="52"/>
      <c r="AE1025" s="52"/>
      <c r="AF1025" s="52"/>
      <c r="AG1025" s="52"/>
      <c r="AU1025" s="108"/>
      <c r="AW1025" s="108"/>
      <c r="BB1025" s="108"/>
      <c r="BC1025" s="108"/>
    </row>
    <row r="1026">
      <c r="T1026" s="136"/>
      <c r="X1026" s="52"/>
      <c r="AE1026" s="52"/>
      <c r="AF1026" s="52"/>
      <c r="AG1026" s="52"/>
      <c r="AU1026" s="108"/>
      <c r="AW1026" s="108"/>
      <c r="BB1026" s="108"/>
      <c r="BC1026" s="108"/>
    </row>
    <row r="1027">
      <c r="T1027" s="136"/>
      <c r="X1027" s="52"/>
      <c r="AE1027" s="52"/>
      <c r="AF1027" s="52"/>
      <c r="AG1027" s="52"/>
      <c r="AU1027" s="108"/>
      <c r="AW1027" s="108"/>
      <c r="BB1027" s="108"/>
      <c r="BC1027" s="108"/>
    </row>
    <row r="1028">
      <c r="T1028" s="136"/>
      <c r="X1028" s="52"/>
      <c r="AE1028" s="52"/>
      <c r="AF1028" s="52"/>
      <c r="AG1028" s="52"/>
      <c r="AU1028" s="108"/>
      <c r="AW1028" s="108"/>
      <c r="BB1028" s="108"/>
      <c r="BC1028" s="108"/>
    </row>
    <row r="1029">
      <c r="T1029" s="136"/>
      <c r="X1029" s="52"/>
      <c r="AE1029" s="52"/>
      <c r="AF1029" s="52"/>
      <c r="AG1029" s="52"/>
      <c r="AU1029" s="108"/>
      <c r="AW1029" s="108"/>
      <c r="BB1029" s="108"/>
      <c r="BC1029" s="108"/>
    </row>
    <row r="1030">
      <c r="T1030" s="136"/>
      <c r="X1030" s="52"/>
      <c r="AE1030" s="52"/>
      <c r="AF1030" s="52"/>
      <c r="AG1030" s="52"/>
      <c r="AU1030" s="108"/>
      <c r="AW1030" s="108"/>
      <c r="BB1030" s="108"/>
      <c r="BC1030" s="108"/>
    </row>
    <row r="1031">
      <c r="T1031" s="136"/>
      <c r="X1031" s="52"/>
      <c r="AE1031" s="52"/>
      <c r="AF1031" s="52"/>
      <c r="AG1031" s="52"/>
      <c r="AU1031" s="108"/>
      <c r="AW1031" s="108"/>
      <c r="BB1031" s="108"/>
      <c r="BC1031" s="108"/>
    </row>
    <row r="1032">
      <c r="T1032" s="136"/>
      <c r="X1032" s="52"/>
      <c r="AE1032" s="52"/>
      <c r="AF1032" s="52"/>
      <c r="AG1032" s="52"/>
      <c r="AU1032" s="108"/>
      <c r="AW1032" s="108"/>
      <c r="BB1032" s="108"/>
      <c r="BC1032" s="108"/>
    </row>
    <row r="1033">
      <c r="T1033" s="136"/>
      <c r="X1033" s="52"/>
      <c r="AE1033" s="52"/>
      <c r="AF1033" s="52"/>
      <c r="AG1033" s="52"/>
      <c r="AU1033" s="108"/>
      <c r="AW1033" s="108"/>
      <c r="BB1033" s="108"/>
      <c r="BC1033" s="108"/>
    </row>
  </sheetData>
  <mergeCells count="5">
    <mergeCell ref="A2:A48"/>
    <mergeCell ref="A49:A60"/>
    <mergeCell ref="A61:A94"/>
    <mergeCell ref="A95:A131"/>
    <mergeCell ref="A132:A141"/>
  </mergeCells>
  <conditionalFormatting sqref="D1:BA1">
    <cfRule type="expression" dxfId="5" priority="1">
      <formula>AND(ISNUMBER(D1),TRUNC(D1)&lt;TODAY())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.25"/>
    <col customWidth="1" min="2" max="2" width="18.38"/>
    <col customWidth="1" min="11" max="11" width="13.75"/>
  </cols>
  <sheetData>
    <row r="1">
      <c r="A1" s="1"/>
      <c r="B1" s="2" t="s">
        <v>0</v>
      </c>
      <c r="C1" s="2" t="s">
        <v>1</v>
      </c>
      <c r="D1" s="3">
        <v>44568.0</v>
      </c>
      <c r="E1" s="4">
        <v>44582.0</v>
      </c>
      <c r="F1" s="4">
        <v>44589.0</v>
      </c>
      <c r="G1" s="4">
        <v>44603.0</v>
      </c>
      <c r="H1" s="4">
        <v>44610.0</v>
      </c>
      <c r="I1" s="4">
        <v>44617.0</v>
      </c>
      <c r="J1" s="138">
        <v>44624.0</v>
      </c>
      <c r="K1" s="138">
        <v>44631.0</v>
      </c>
      <c r="L1" s="138">
        <v>44638.0</v>
      </c>
      <c r="M1" s="138">
        <v>44645.0</v>
      </c>
      <c r="N1" s="138">
        <v>44652.0</v>
      </c>
      <c r="O1" s="138">
        <v>44659.0</v>
      </c>
      <c r="P1" s="138">
        <v>44666.0</v>
      </c>
      <c r="Q1" s="138">
        <v>44673.0</v>
      </c>
      <c r="R1" s="138">
        <v>44680.0</v>
      </c>
      <c r="S1" s="138">
        <v>44687.0</v>
      </c>
      <c r="T1" s="138">
        <v>44694.0</v>
      </c>
      <c r="U1" s="138">
        <v>44701.0</v>
      </c>
      <c r="V1" s="138">
        <v>44715.0</v>
      </c>
      <c r="W1" s="138">
        <v>44722.0</v>
      </c>
      <c r="X1" s="138">
        <v>44729.0</v>
      </c>
      <c r="Y1" s="138">
        <v>44736.0</v>
      </c>
      <c r="Z1" s="138">
        <v>44743.0</v>
      </c>
      <c r="AA1" s="138">
        <v>44750.0</v>
      </c>
      <c r="AB1" s="138">
        <v>44771.0</v>
      </c>
      <c r="AC1" s="138">
        <v>44778.0</v>
      </c>
      <c r="AD1" s="138">
        <v>44785.0</v>
      </c>
      <c r="AE1" s="138">
        <v>44792.0</v>
      </c>
      <c r="AF1" s="138">
        <v>44799.0</v>
      </c>
      <c r="AG1" s="138">
        <v>44806.0</v>
      </c>
      <c r="AH1" s="138">
        <v>44813.0</v>
      </c>
      <c r="AI1" s="138">
        <v>44820.0</v>
      </c>
      <c r="AJ1" s="138">
        <v>44827.0</v>
      </c>
      <c r="AK1" s="138">
        <v>44834.0</v>
      </c>
      <c r="AL1" s="138">
        <v>44841.0</v>
      </c>
      <c r="AM1" s="139">
        <v>44848.0</v>
      </c>
      <c r="AN1" s="138">
        <v>44855.0</v>
      </c>
      <c r="AO1" s="138">
        <v>44862.0</v>
      </c>
      <c r="AP1" s="139">
        <v>44869.0</v>
      </c>
      <c r="AQ1" s="138">
        <v>44876.0</v>
      </c>
      <c r="AR1" s="139">
        <v>45248.0</v>
      </c>
      <c r="AS1" s="139">
        <v>45255.0</v>
      </c>
      <c r="AT1" s="138">
        <v>45262.0</v>
      </c>
      <c r="AU1" s="138">
        <v>45269.0</v>
      </c>
      <c r="AV1" s="138">
        <v>45276.0</v>
      </c>
      <c r="AW1" s="139">
        <v>45283.0</v>
      </c>
      <c r="AX1" s="138">
        <v>45290.0</v>
      </c>
    </row>
    <row r="2">
      <c r="A2" s="140"/>
      <c r="B2" s="16" t="s">
        <v>114</v>
      </c>
      <c r="C2" s="16" t="s">
        <v>2</v>
      </c>
      <c r="D2" s="16"/>
      <c r="E2" s="16"/>
      <c r="F2" s="16"/>
      <c r="G2" s="16" t="s">
        <v>4</v>
      </c>
      <c r="H2" s="16" t="s">
        <v>4</v>
      </c>
      <c r="I2" s="16" t="s">
        <v>4</v>
      </c>
      <c r="J2" s="16" t="s">
        <v>4</v>
      </c>
      <c r="K2" s="16" t="s">
        <v>4</v>
      </c>
      <c r="L2" s="16"/>
      <c r="M2" s="16" t="s">
        <v>4</v>
      </c>
      <c r="N2" s="16"/>
      <c r="O2" s="16"/>
      <c r="P2" s="16" t="s">
        <v>4</v>
      </c>
      <c r="Q2" s="20"/>
      <c r="R2" s="16" t="s">
        <v>4</v>
      </c>
      <c r="S2" s="20"/>
      <c r="T2" s="20"/>
      <c r="U2" s="16" t="s">
        <v>4</v>
      </c>
      <c r="V2" s="16" t="s">
        <v>4</v>
      </c>
      <c r="W2" s="16" t="s">
        <v>4</v>
      </c>
      <c r="X2" s="16" t="s">
        <v>4</v>
      </c>
      <c r="Y2" s="20"/>
      <c r="Z2" s="20"/>
      <c r="AA2" s="20"/>
      <c r="AB2" s="20"/>
      <c r="AC2" s="20"/>
      <c r="AD2" s="20"/>
      <c r="AE2" s="20"/>
      <c r="AF2" s="20"/>
      <c r="AG2" s="20"/>
      <c r="AH2" s="16" t="s">
        <v>4</v>
      </c>
      <c r="AI2" s="20"/>
      <c r="AJ2" s="20"/>
      <c r="AK2" s="20"/>
      <c r="AL2" s="20"/>
      <c r="AM2" s="42"/>
      <c r="AN2" s="16" t="s">
        <v>4</v>
      </c>
      <c r="AO2" s="20"/>
      <c r="AP2" s="42"/>
      <c r="AQ2" s="20"/>
      <c r="AR2" s="42"/>
      <c r="AS2" s="42"/>
      <c r="AT2" s="16" t="s">
        <v>4</v>
      </c>
      <c r="AU2" s="20"/>
      <c r="AV2" s="16" t="s">
        <v>4</v>
      </c>
      <c r="AW2" s="42"/>
      <c r="AX2" s="16"/>
    </row>
    <row r="3">
      <c r="B3" s="16" t="s">
        <v>3</v>
      </c>
      <c r="C3" s="16" t="s">
        <v>2</v>
      </c>
      <c r="D3" s="16" t="s">
        <v>4</v>
      </c>
      <c r="E3" s="16" t="s">
        <v>4</v>
      </c>
      <c r="F3" s="16" t="s">
        <v>4</v>
      </c>
      <c r="G3" s="16" t="s">
        <v>4</v>
      </c>
      <c r="H3" s="16"/>
      <c r="I3" s="16" t="s">
        <v>4</v>
      </c>
      <c r="J3" s="16" t="s">
        <v>4</v>
      </c>
      <c r="K3" s="16" t="s">
        <v>4</v>
      </c>
      <c r="L3" s="16" t="s">
        <v>4</v>
      </c>
      <c r="M3" s="16" t="s">
        <v>4</v>
      </c>
      <c r="N3" s="16"/>
      <c r="O3" s="16" t="s">
        <v>4</v>
      </c>
      <c r="P3" s="20"/>
      <c r="Q3" s="16"/>
      <c r="R3" s="16"/>
      <c r="S3" s="16"/>
      <c r="T3" s="16" t="s">
        <v>4</v>
      </c>
      <c r="U3" s="16" t="s">
        <v>4</v>
      </c>
      <c r="V3" s="16" t="s">
        <v>4</v>
      </c>
      <c r="W3" s="16" t="s">
        <v>4</v>
      </c>
      <c r="X3" s="16"/>
      <c r="Y3" s="16" t="s">
        <v>4</v>
      </c>
      <c r="Z3" s="16" t="s">
        <v>4</v>
      </c>
      <c r="AA3" s="16" t="s">
        <v>4</v>
      </c>
      <c r="AB3" s="16" t="s">
        <v>4</v>
      </c>
      <c r="AC3" s="16" t="s">
        <v>4</v>
      </c>
      <c r="AD3" s="16"/>
      <c r="AE3" s="16"/>
      <c r="AF3" s="16"/>
      <c r="AG3" s="16"/>
      <c r="AH3" s="16"/>
      <c r="AI3" s="16" t="s">
        <v>4</v>
      </c>
      <c r="AJ3" s="16"/>
      <c r="AK3" s="16" t="s">
        <v>4</v>
      </c>
      <c r="AL3" s="16"/>
      <c r="AM3" s="17"/>
      <c r="AN3" s="16" t="s">
        <v>4</v>
      </c>
      <c r="AO3" s="16"/>
      <c r="AP3" s="17"/>
      <c r="AQ3" s="16"/>
      <c r="AR3" s="17"/>
      <c r="AS3" s="17"/>
      <c r="AT3" s="16" t="s">
        <v>4</v>
      </c>
      <c r="AU3" s="16"/>
      <c r="AV3" s="16" t="s">
        <v>4</v>
      </c>
      <c r="AW3" s="17"/>
      <c r="AX3" s="16"/>
    </row>
    <row r="4">
      <c r="B4" s="16" t="s">
        <v>7</v>
      </c>
      <c r="C4" s="16" t="s">
        <v>2</v>
      </c>
      <c r="D4" s="16" t="s">
        <v>4</v>
      </c>
      <c r="E4" s="16" t="s">
        <v>4</v>
      </c>
      <c r="F4" s="16" t="s">
        <v>4</v>
      </c>
      <c r="G4" s="20"/>
      <c r="H4" s="16" t="s">
        <v>4</v>
      </c>
      <c r="I4" s="16" t="s">
        <v>4</v>
      </c>
      <c r="J4" s="16" t="s">
        <v>4</v>
      </c>
      <c r="K4" s="16" t="s">
        <v>4</v>
      </c>
      <c r="L4" s="16" t="s">
        <v>4</v>
      </c>
      <c r="M4" s="16" t="s">
        <v>4</v>
      </c>
      <c r="N4" s="16"/>
      <c r="O4" s="16" t="s">
        <v>4</v>
      </c>
      <c r="P4" s="16" t="s">
        <v>4</v>
      </c>
      <c r="Q4" s="20"/>
      <c r="R4" s="16"/>
      <c r="S4" s="16"/>
      <c r="T4" s="16" t="s">
        <v>4</v>
      </c>
      <c r="U4" s="16" t="s">
        <v>4</v>
      </c>
      <c r="V4" s="16" t="s">
        <v>4</v>
      </c>
      <c r="W4" s="16" t="s">
        <v>4</v>
      </c>
      <c r="X4" s="16"/>
      <c r="Y4" s="16" t="s">
        <v>4</v>
      </c>
      <c r="Z4" s="16" t="s">
        <v>4</v>
      </c>
      <c r="AA4" s="16" t="s">
        <v>4</v>
      </c>
      <c r="AB4" s="16" t="s">
        <v>4</v>
      </c>
      <c r="AC4" s="16" t="s">
        <v>4</v>
      </c>
      <c r="AD4" s="16"/>
      <c r="AE4" s="16"/>
      <c r="AF4" s="16"/>
      <c r="AG4" s="16"/>
      <c r="AH4" s="16"/>
      <c r="AI4" s="16" t="s">
        <v>4</v>
      </c>
      <c r="AJ4" s="16"/>
      <c r="AK4" s="16" t="s">
        <v>4</v>
      </c>
      <c r="AL4" s="16"/>
      <c r="AM4" s="17"/>
      <c r="AN4" s="16" t="s">
        <v>4</v>
      </c>
      <c r="AO4" s="16"/>
      <c r="AP4" s="17"/>
      <c r="AQ4" s="16"/>
      <c r="AR4" s="17"/>
      <c r="AS4" s="17"/>
      <c r="AT4" s="16" t="s">
        <v>4</v>
      </c>
      <c r="AU4" s="16" t="s">
        <v>4</v>
      </c>
      <c r="AV4" s="16" t="s">
        <v>4</v>
      </c>
      <c r="AW4" s="17"/>
      <c r="AX4" s="16"/>
    </row>
    <row r="5">
      <c r="B5" s="16" t="s">
        <v>8</v>
      </c>
      <c r="C5" s="16" t="s">
        <v>2</v>
      </c>
      <c r="D5" s="16" t="s">
        <v>4</v>
      </c>
      <c r="E5" s="16" t="s">
        <v>4</v>
      </c>
      <c r="F5" s="16" t="s">
        <v>4</v>
      </c>
      <c r="G5" s="16" t="s">
        <v>4</v>
      </c>
      <c r="H5" s="16"/>
      <c r="I5" s="16" t="s">
        <v>4</v>
      </c>
      <c r="J5" s="16" t="s">
        <v>4</v>
      </c>
      <c r="K5" s="16"/>
      <c r="L5" s="16" t="s">
        <v>4</v>
      </c>
      <c r="M5" s="16" t="s">
        <v>4</v>
      </c>
      <c r="N5" s="20"/>
      <c r="O5" s="16" t="s">
        <v>4</v>
      </c>
      <c r="P5" s="16"/>
      <c r="Q5" s="16" t="s">
        <v>4</v>
      </c>
      <c r="R5" s="16" t="s">
        <v>4</v>
      </c>
      <c r="S5" s="16" t="s">
        <v>4</v>
      </c>
      <c r="T5" s="16" t="s">
        <v>4</v>
      </c>
      <c r="U5" s="16" t="s">
        <v>4</v>
      </c>
      <c r="V5" s="16" t="s">
        <v>4</v>
      </c>
      <c r="W5" s="16" t="s">
        <v>4</v>
      </c>
      <c r="X5" s="16"/>
      <c r="Y5" s="16" t="s">
        <v>4</v>
      </c>
      <c r="Z5" s="16" t="s">
        <v>4</v>
      </c>
      <c r="AA5" s="16" t="s">
        <v>4</v>
      </c>
      <c r="AB5" s="16" t="s">
        <v>4</v>
      </c>
      <c r="AC5" s="16"/>
      <c r="AD5" s="16"/>
      <c r="AE5" s="16" t="s">
        <v>118</v>
      </c>
      <c r="AF5" s="16" t="s">
        <v>118</v>
      </c>
      <c r="AG5" s="16"/>
      <c r="AH5" s="16" t="s">
        <v>4</v>
      </c>
      <c r="AI5" s="16"/>
      <c r="AJ5" s="16" t="s">
        <v>4</v>
      </c>
      <c r="AK5" s="16" t="s">
        <v>4</v>
      </c>
      <c r="AL5" s="16"/>
      <c r="AM5" s="17"/>
      <c r="AN5" s="16" t="s">
        <v>4</v>
      </c>
      <c r="AO5" s="16"/>
      <c r="AP5" s="17"/>
      <c r="AQ5" s="16" t="s">
        <v>4</v>
      </c>
      <c r="AR5" s="17"/>
      <c r="AS5" s="17"/>
      <c r="AT5" s="16" t="s">
        <v>4</v>
      </c>
      <c r="AU5" s="16" t="s">
        <v>4</v>
      </c>
      <c r="AV5" s="16" t="s">
        <v>4</v>
      </c>
      <c r="AW5" s="17"/>
      <c r="AX5" s="16"/>
    </row>
    <row r="6">
      <c r="B6" s="16" t="s">
        <v>116</v>
      </c>
      <c r="C6" s="16" t="s">
        <v>2</v>
      </c>
      <c r="D6" s="16" t="s">
        <v>4</v>
      </c>
      <c r="E6" s="16"/>
      <c r="F6" s="16"/>
      <c r="G6" s="16" t="s">
        <v>4</v>
      </c>
      <c r="H6" s="16" t="s">
        <v>4</v>
      </c>
      <c r="I6" s="16" t="s">
        <v>4</v>
      </c>
      <c r="J6" s="16" t="s">
        <v>4</v>
      </c>
      <c r="K6" s="16" t="s">
        <v>4</v>
      </c>
      <c r="L6" s="16"/>
      <c r="M6" s="16" t="s">
        <v>4</v>
      </c>
      <c r="N6" s="16" t="s">
        <v>4</v>
      </c>
      <c r="O6" s="16"/>
      <c r="P6" s="16" t="s">
        <v>4</v>
      </c>
      <c r="Q6" s="16"/>
      <c r="R6" s="16" t="s">
        <v>4</v>
      </c>
      <c r="S6" s="16" t="s">
        <v>4</v>
      </c>
      <c r="T6" s="16" t="s">
        <v>4</v>
      </c>
      <c r="U6" s="16" t="s">
        <v>4</v>
      </c>
      <c r="V6" s="16" t="s">
        <v>4</v>
      </c>
      <c r="W6" s="16"/>
      <c r="X6" s="16" t="s">
        <v>4</v>
      </c>
      <c r="Y6" s="16" t="s">
        <v>4</v>
      </c>
      <c r="Z6" s="20"/>
      <c r="AA6" s="16" t="s">
        <v>4</v>
      </c>
      <c r="AB6" s="16" t="s">
        <v>4</v>
      </c>
      <c r="AC6" s="16"/>
      <c r="AD6" s="16" t="s">
        <v>118</v>
      </c>
      <c r="AE6" s="16"/>
      <c r="AF6" s="16"/>
      <c r="AG6" s="16"/>
      <c r="AH6" s="16"/>
      <c r="AI6" s="16"/>
      <c r="AJ6" s="16" t="s">
        <v>4</v>
      </c>
      <c r="AK6" s="16"/>
      <c r="AL6" s="16"/>
      <c r="AM6" s="17"/>
      <c r="AN6" s="16"/>
      <c r="AO6" s="16" t="s">
        <v>4</v>
      </c>
      <c r="AP6" s="17"/>
      <c r="AQ6" s="16" t="s">
        <v>4</v>
      </c>
      <c r="AR6" s="17"/>
      <c r="AS6" s="17"/>
      <c r="AT6" s="16"/>
      <c r="AU6" s="16" t="s">
        <v>4</v>
      </c>
      <c r="AV6" s="16" t="s">
        <v>4</v>
      </c>
      <c r="AW6" s="17"/>
      <c r="AX6" s="16"/>
    </row>
    <row r="7">
      <c r="B7" s="16" t="s">
        <v>10</v>
      </c>
      <c r="C7" s="16" t="s">
        <v>2</v>
      </c>
      <c r="D7" s="16" t="s">
        <v>4</v>
      </c>
      <c r="E7" s="16" t="s">
        <v>4</v>
      </c>
      <c r="F7" s="16" t="s">
        <v>4</v>
      </c>
      <c r="G7" s="16" t="s">
        <v>4</v>
      </c>
      <c r="H7" s="16" t="s">
        <v>4</v>
      </c>
      <c r="I7" s="20"/>
      <c r="J7" s="16"/>
      <c r="K7" s="16" t="s">
        <v>4</v>
      </c>
      <c r="L7" s="16" t="s">
        <v>4</v>
      </c>
      <c r="M7" s="16" t="s">
        <v>4</v>
      </c>
      <c r="N7" s="16" t="s">
        <v>4</v>
      </c>
      <c r="O7" s="16"/>
      <c r="P7" s="16"/>
      <c r="Q7" s="16"/>
      <c r="R7" s="16" t="s">
        <v>4</v>
      </c>
      <c r="S7" s="16" t="s">
        <v>4</v>
      </c>
      <c r="T7" s="16" t="s">
        <v>4</v>
      </c>
      <c r="U7" s="16" t="s">
        <v>4</v>
      </c>
      <c r="V7" s="16" t="s">
        <v>4</v>
      </c>
      <c r="W7" s="16"/>
      <c r="X7" s="16" t="s">
        <v>4</v>
      </c>
      <c r="Y7" s="16" t="s">
        <v>4</v>
      </c>
      <c r="Z7" s="20"/>
      <c r="AA7" s="16" t="s">
        <v>4</v>
      </c>
      <c r="AB7" s="16" t="s">
        <v>4</v>
      </c>
      <c r="AC7" s="16" t="s">
        <v>4</v>
      </c>
      <c r="AD7" s="16" t="s">
        <v>118</v>
      </c>
      <c r="AE7" s="16" t="s">
        <v>118</v>
      </c>
      <c r="AF7" s="16" t="s">
        <v>118</v>
      </c>
      <c r="AG7" s="16"/>
      <c r="AH7" s="16"/>
      <c r="AI7" s="16"/>
      <c r="AJ7" s="16" t="s">
        <v>4</v>
      </c>
      <c r="AK7" s="16" t="s">
        <v>4</v>
      </c>
      <c r="AL7" s="16"/>
      <c r="AM7" s="17"/>
      <c r="AN7" s="16"/>
      <c r="AO7" s="16" t="s">
        <v>4</v>
      </c>
      <c r="AP7" s="17"/>
      <c r="AQ7" s="16" t="s">
        <v>4</v>
      </c>
      <c r="AR7" s="17"/>
      <c r="AS7" s="17"/>
      <c r="AT7" s="16"/>
      <c r="AU7" s="16" t="s">
        <v>4</v>
      </c>
      <c r="AV7" s="16" t="s">
        <v>4</v>
      </c>
      <c r="AW7" s="17"/>
      <c r="AX7" s="16"/>
    </row>
    <row r="8">
      <c r="B8" s="16" t="s">
        <v>11</v>
      </c>
      <c r="C8" s="16" t="s">
        <v>2</v>
      </c>
      <c r="D8" s="16" t="s">
        <v>4</v>
      </c>
      <c r="E8" s="16" t="s">
        <v>4</v>
      </c>
      <c r="F8" s="16" t="s">
        <v>4</v>
      </c>
      <c r="G8" s="16" t="s">
        <v>4</v>
      </c>
      <c r="H8" s="16" t="s">
        <v>4</v>
      </c>
      <c r="I8" s="16" t="s">
        <v>4</v>
      </c>
      <c r="J8" s="16" t="s">
        <v>4</v>
      </c>
      <c r="K8" s="16" t="s">
        <v>4</v>
      </c>
      <c r="L8" s="20"/>
      <c r="M8" s="16" t="s">
        <v>4</v>
      </c>
      <c r="N8" s="16"/>
      <c r="O8" s="20"/>
      <c r="P8" s="16" t="s">
        <v>4</v>
      </c>
      <c r="Q8" s="20"/>
      <c r="R8" s="16" t="s">
        <v>4</v>
      </c>
      <c r="S8" s="16" t="s">
        <v>4</v>
      </c>
      <c r="T8" s="16" t="s">
        <v>4</v>
      </c>
      <c r="U8" s="16"/>
      <c r="V8" s="16" t="s">
        <v>4</v>
      </c>
      <c r="W8" s="16" t="s">
        <v>4</v>
      </c>
      <c r="X8" s="16" t="s">
        <v>4</v>
      </c>
      <c r="Y8" s="16" t="s">
        <v>4</v>
      </c>
      <c r="Z8" s="16" t="s">
        <v>4</v>
      </c>
      <c r="AA8" s="20"/>
      <c r="AB8" s="16" t="s">
        <v>4</v>
      </c>
      <c r="AC8" s="16" t="s">
        <v>4</v>
      </c>
      <c r="AD8" s="16" t="s">
        <v>118</v>
      </c>
      <c r="AE8" s="16" t="s">
        <v>118</v>
      </c>
      <c r="AF8" s="16"/>
      <c r="AG8" s="16"/>
      <c r="AH8" s="16"/>
      <c r="AI8" s="16"/>
      <c r="AJ8" s="16" t="s">
        <v>4</v>
      </c>
      <c r="AK8" s="16"/>
      <c r="AL8" s="16"/>
      <c r="AM8" s="17"/>
      <c r="AN8" s="16" t="s">
        <v>4</v>
      </c>
      <c r="AO8" s="16" t="s">
        <v>4</v>
      </c>
      <c r="AP8" s="17"/>
      <c r="AQ8" s="16"/>
      <c r="AR8" s="17"/>
      <c r="AS8" s="17"/>
      <c r="AT8" s="16" t="s">
        <v>4</v>
      </c>
      <c r="AU8" s="16" t="s">
        <v>4</v>
      </c>
      <c r="AV8" s="16" t="s">
        <v>4</v>
      </c>
      <c r="AW8" s="17"/>
      <c r="AX8" s="16"/>
    </row>
    <row r="9">
      <c r="B9" s="16" t="s">
        <v>12</v>
      </c>
      <c r="C9" s="16" t="s">
        <v>2</v>
      </c>
      <c r="D9" s="16" t="s">
        <v>4</v>
      </c>
      <c r="E9" s="16" t="s">
        <v>4</v>
      </c>
      <c r="F9" s="16" t="s">
        <v>4</v>
      </c>
      <c r="G9" s="16" t="s">
        <v>4</v>
      </c>
      <c r="H9" s="16" t="s">
        <v>4</v>
      </c>
      <c r="I9" s="16" t="s">
        <v>4</v>
      </c>
      <c r="J9" s="16" t="s">
        <v>4</v>
      </c>
      <c r="K9" s="16" t="s">
        <v>4</v>
      </c>
      <c r="L9" s="16"/>
      <c r="M9" s="16" t="s">
        <v>4</v>
      </c>
      <c r="N9" s="16"/>
      <c r="O9" s="16" t="s">
        <v>4</v>
      </c>
      <c r="P9" s="16" t="s">
        <v>4</v>
      </c>
      <c r="Q9" s="20"/>
      <c r="R9" s="16" t="s">
        <v>4</v>
      </c>
      <c r="S9" s="16" t="s">
        <v>4</v>
      </c>
      <c r="T9" s="16" t="s">
        <v>4</v>
      </c>
      <c r="U9" s="16" t="s">
        <v>4</v>
      </c>
      <c r="V9" s="16" t="s">
        <v>4</v>
      </c>
      <c r="W9" s="16" t="s">
        <v>4</v>
      </c>
      <c r="X9" s="16" t="s">
        <v>4</v>
      </c>
      <c r="Y9" s="16" t="s">
        <v>4</v>
      </c>
      <c r="Z9" s="16" t="s">
        <v>4</v>
      </c>
      <c r="AA9" s="16" t="s">
        <v>4</v>
      </c>
      <c r="AB9" s="16" t="s">
        <v>4</v>
      </c>
      <c r="AC9" s="16" t="s">
        <v>4</v>
      </c>
      <c r="AD9" s="16" t="s">
        <v>118</v>
      </c>
      <c r="AE9" s="16" t="s">
        <v>118</v>
      </c>
      <c r="AF9" s="16"/>
      <c r="AG9" s="16"/>
      <c r="AH9" s="16"/>
      <c r="AI9" s="16" t="s">
        <v>4</v>
      </c>
      <c r="AJ9" s="16" t="s">
        <v>4</v>
      </c>
      <c r="AK9" s="16"/>
      <c r="AL9" s="16"/>
      <c r="AM9" s="17"/>
      <c r="AN9" s="16" t="s">
        <v>4</v>
      </c>
      <c r="AO9" s="16" t="s">
        <v>4</v>
      </c>
      <c r="AP9" s="17"/>
      <c r="AQ9" s="16"/>
      <c r="AR9" s="17"/>
      <c r="AS9" s="17"/>
      <c r="AT9" s="16" t="s">
        <v>4</v>
      </c>
      <c r="AU9" s="16" t="s">
        <v>4</v>
      </c>
      <c r="AV9" s="16" t="s">
        <v>4</v>
      </c>
      <c r="AW9" s="17"/>
      <c r="AX9" s="16"/>
    </row>
    <row r="10">
      <c r="A10" s="109"/>
      <c r="B10" s="19" t="s">
        <v>138</v>
      </c>
      <c r="C10" s="16" t="s">
        <v>2</v>
      </c>
      <c r="D10" s="16" t="s">
        <v>4</v>
      </c>
      <c r="E10" s="16" t="s">
        <v>4</v>
      </c>
      <c r="F10" s="16" t="s">
        <v>4</v>
      </c>
      <c r="G10" s="16" t="s">
        <v>4</v>
      </c>
      <c r="H10" s="16" t="s">
        <v>4</v>
      </c>
      <c r="I10" s="16" t="s">
        <v>4</v>
      </c>
      <c r="J10" s="16" t="s">
        <v>4</v>
      </c>
      <c r="K10" s="16" t="s">
        <v>4</v>
      </c>
      <c r="L10" s="16" t="s">
        <v>4</v>
      </c>
      <c r="M10" s="16" t="s">
        <v>4</v>
      </c>
      <c r="N10" s="16"/>
      <c r="O10" s="16" t="s">
        <v>4</v>
      </c>
      <c r="P10" s="16" t="s">
        <v>4</v>
      </c>
      <c r="Q10" s="16" t="s">
        <v>4</v>
      </c>
      <c r="R10" s="16" t="s">
        <v>4</v>
      </c>
      <c r="S10" s="16" t="s">
        <v>4</v>
      </c>
      <c r="T10" s="16" t="s">
        <v>4</v>
      </c>
      <c r="U10" s="16" t="s">
        <v>4</v>
      </c>
      <c r="V10" s="16" t="s">
        <v>4</v>
      </c>
      <c r="W10" s="16" t="s">
        <v>4</v>
      </c>
      <c r="X10" s="16"/>
      <c r="Y10" s="16" t="s">
        <v>4</v>
      </c>
      <c r="Z10" s="16" t="s">
        <v>4</v>
      </c>
      <c r="AA10" s="16" t="s">
        <v>4</v>
      </c>
      <c r="AB10" s="16"/>
      <c r="AC10" s="16" t="s">
        <v>4</v>
      </c>
      <c r="AD10" s="16" t="s">
        <v>118</v>
      </c>
      <c r="AE10" s="16" t="s">
        <v>118</v>
      </c>
      <c r="AF10" s="16" t="s">
        <v>118</v>
      </c>
      <c r="AG10" s="16"/>
      <c r="AH10" s="16" t="s">
        <v>4</v>
      </c>
      <c r="AI10" s="16"/>
      <c r="AJ10" s="16" t="s">
        <v>4</v>
      </c>
      <c r="AK10" s="16"/>
      <c r="AL10" s="16"/>
      <c r="AM10" s="17"/>
      <c r="AN10" s="16" t="s">
        <v>4</v>
      </c>
      <c r="AO10" s="16" t="s">
        <v>4</v>
      </c>
      <c r="AP10" s="17"/>
      <c r="AQ10" s="16" t="s">
        <v>4</v>
      </c>
      <c r="AR10" s="17"/>
      <c r="AS10" s="17"/>
      <c r="AT10" s="16" t="s">
        <v>4</v>
      </c>
      <c r="AU10" s="16" t="s">
        <v>4</v>
      </c>
      <c r="AV10" s="16" t="s">
        <v>4</v>
      </c>
      <c r="AW10" s="17"/>
      <c r="AX10" s="16" t="s">
        <v>4</v>
      </c>
    </row>
    <row r="11">
      <c r="A11" s="109"/>
      <c r="B11" s="19" t="s">
        <v>221</v>
      </c>
      <c r="C11" s="16" t="s">
        <v>2</v>
      </c>
      <c r="D11" s="16" t="s">
        <v>4</v>
      </c>
      <c r="E11" s="16" t="s">
        <v>4</v>
      </c>
      <c r="F11" s="16" t="s">
        <v>4</v>
      </c>
      <c r="G11" s="16" t="s">
        <v>4</v>
      </c>
      <c r="H11" s="16" t="s">
        <v>4</v>
      </c>
      <c r="I11" s="16" t="s">
        <v>4</v>
      </c>
      <c r="J11" s="16" t="s">
        <v>4</v>
      </c>
      <c r="K11" s="16" t="s">
        <v>4</v>
      </c>
      <c r="L11" s="20"/>
      <c r="M11" s="16" t="s">
        <v>4</v>
      </c>
      <c r="N11" s="16" t="s">
        <v>4</v>
      </c>
      <c r="O11" s="16" t="s">
        <v>4</v>
      </c>
      <c r="P11" s="16" t="s">
        <v>4</v>
      </c>
      <c r="Q11" s="16" t="s">
        <v>4</v>
      </c>
      <c r="R11" s="16" t="s">
        <v>4</v>
      </c>
      <c r="S11" s="16" t="s">
        <v>4</v>
      </c>
      <c r="T11" s="16" t="s">
        <v>4</v>
      </c>
      <c r="U11" s="16" t="s">
        <v>4</v>
      </c>
      <c r="V11" s="16"/>
      <c r="W11" s="16" t="s">
        <v>4</v>
      </c>
      <c r="X11" s="16"/>
      <c r="Y11" s="16" t="s">
        <v>4</v>
      </c>
      <c r="Z11" s="16" t="s">
        <v>4</v>
      </c>
      <c r="AA11" s="20"/>
      <c r="AB11" s="20"/>
      <c r="AC11" s="20"/>
      <c r="AD11" s="20"/>
      <c r="AE11" s="20"/>
      <c r="AF11" s="16" t="s">
        <v>118</v>
      </c>
      <c r="AG11" s="16"/>
      <c r="AH11" s="16" t="s">
        <v>4</v>
      </c>
      <c r="AI11" s="16"/>
      <c r="AJ11" s="16" t="s">
        <v>4</v>
      </c>
      <c r="AK11" s="16" t="s">
        <v>4</v>
      </c>
      <c r="AL11" s="16"/>
      <c r="AM11" s="17"/>
      <c r="AN11" s="16" t="s">
        <v>4</v>
      </c>
      <c r="AO11" s="16"/>
      <c r="AP11" s="17"/>
      <c r="AQ11" s="16"/>
      <c r="AR11" s="17"/>
      <c r="AS11" s="17"/>
      <c r="AT11" s="16" t="s">
        <v>4</v>
      </c>
      <c r="AU11" s="16" t="s">
        <v>4</v>
      </c>
      <c r="AV11" s="16" t="s">
        <v>4</v>
      </c>
      <c r="AW11" s="17"/>
      <c r="AX11" s="16" t="s">
        <v>4</v>
      </c>
    </row>
    <row r="12">
      <c r="A12" s="109"/>
      <c r="B12" s="19" t="s">
        <v>139</v>
      </c>
      <c r="C12" s="16" t="s">
        <v>2</v>
      </c>
      <c r="D12" s="16" t="s">
        <v>4</v>
      </c>
      <c r="E12" s="16" t="s">
        <v>4</v>
      </c>
      <c r="F12" s="16" t="s">
        <v>4</v>
      </c>
      <c r="G12" s="16"/>
      <c r="H12" s="16"/>
      <c r="I12" s="16" t="s">
        <v>4</v>
      </c>
      <c r="J12" s="16" t="s">
        <v>4</v>
      </c>
      <c r="K12" s="16"/>
      <c r="L12" s="16" t="s">
        <v>4</v>
      </c>
      <c r="M12" s="16" t="s">
        <v>4</v>
      </c>
      <c r="N12" s="16" t="s">
        <v>4</v>
      </c>
      <c r="O12" s="20"/>
      <c r="P12" s="16" t="s">
        <v>4</v>
      </c>
      <c r="Q12" s="16"/>
      <c r="R12" s="16" t="s">
        <v>4</v>
      </c>
      <c r="S12" s="16" t="s">
        <v>4</v>
      </c>
      <c r="T12" s="16" t="s">
        <v>4</v>
      </c>
      <c r="U12" s="16" t="s">
        <v>4</v>
      </c>
      <c r="V12" s="20"/>
      <c r="W12" s="16" t="s">
        <v>4</v>
      </c>
      <c r="X12" s="16" t="s">
        <v>4</v>
      </c>
      <c r="Y12" s="16" t="s">
        <v>4</v>
      </c>
      <c r="Z12" s="20"/>
      <c r="AA12" s="16" t="s">
        <v>4</v>
      </c>
      <c r="AB12" s="16"/>
      <c r="AC12" s="16" t="s">
        <v>4</v>
      </c>
      <c r="AD12" s="16" t="s">
        <v>118</v>
      </c>
      <c r="AE12" s="16"/>
      <c r="AF12" s="16" t="s">
        <v>118</v>
      </c>
      <c r="AG12" s="16"/>
      <c r="AH12" s="16" t="s">
        <v>4</v>
      </c>
      <c r="AI12" s="16"/>
      <c r="AJ12" s="16" t="s">
        <v>4</v>
      </c>
      <c r="AK12" s="16"/>
      <c r="AL12" s="16"/>
      <c r="AM12" s="17"/>
      <c r="AN12" s="16" t="s">
        <v>4</v>
      </c>
      <c r="AO12" s="16" t="s">
        <v>4</v>
      </c>
      <c r="AP12" s="17"/>
      <c r="AQ12" s="16"/>
      <c r="AR12" s="17"/>
      <c r="AS12" s="17"/>
      <c r="AT12" s="16" t="s">
        <v>4</v>
      </c>
      <c r="AU12" s="16"/>
      <c r="AV12" s="16" t="s">
        <v>4</v>
      </c>
      <c r="AW12" s="17"/>
      <c r="AX12" s="16"/>
    </row>
    <row r="13">
      <c r="A13" s="109"/>
      <c r="B13" s="19" t="s">
        <v>140</v>
      </c>
      <c r="C13" s="16" t="s">
        <v>2</v>
      </c>
      <c r="D13" s="16" t="s">
        <v>4</v>
      </c>
      <c r="E13" s="16" t="s">
        <v>4</v>
      </c>
      <c r="F13" s="16" t="s">
        <v>4</v>
      </c>
      <c r="G13" s="16"/>
      <c r="H13" s="16"/>
      <c r="I13" s="16" t="s">
        <v>4</v>
      </c>
      <c r="J13" s="16" t="s">
        <v>4</v>
      </c>
      <c r="K13" s="16"/>
      <c r="L13" s="16" t="s">
        <v>4</v>
      </c>
      <c r="M13" s="16" t="s">
        <v>4</v>
      </c>
      <c r="N13" s="16" t="s">
        <v>4</v>
      </c>
      <c r="O13" s="20"/>
      <c r="P13" s="16" t="s">
        <v>4</v>
      </c>
      <c r="Q13" s="16" t="s">
        <v>4</v>
      </c>
      <c r="R13" s="16" t="s">
        <v>4</v>
      </c>
      <c r="S13" s="16" t="s">
        <v>4</v>
      </c>
      <c r="T13" s="16" t="s">
        <v>4</v>
      </c>
      <c r="U13" s="16" t="s">
        <v>4</v>
      </c>
      <c r="V13" s="20"/>
      <c r="W13" s="16" t="s">
        <v>4</v>
      </c>
      <c r="X13" s="16" t="s">
        <v>4</v>
      </c>
      <c r="Y13" s="16" t="s">
        <v>4</v>
      </c>
      <c r="Z13" s="20"/>
      <c r="AA13" s="16" t="s">
        <v>4</v>
      </c>
      <c r="AB13" s="16"/>
      <c r="AC13" s="16" t="s">
        <v>4</v>
      </c>
      <c r="AD13" s="16" t="s">
        <v>118</v>
      </c>
      <c r="AE13" s="16"/>
      <c r="AF13" s="16" t="s">
        <v>118</v>
      </c>
      <c r="AG13" s="16"/>
      <c r="AH13" s="16"/>
      <c r="AI13" s="16"/>
      <c r="AJ13" s="16"/>
      <c r="AK13" s="16"/>
      <c r="AL13" s="16"/>
      <c r="AM13" s="17"/>
      <c r="AN13" s="16" t="s">
        <v>4</v>
      </c>
      <c r="AO13" s="16" t="s">
        <v>4</v>
      </c>
      <c r="AP13" s="17"/>
      <c r="AQ13" s="16"/>
      <c r="AR13" s="17"/>
      <c r="AS13" s="17"/>
      <c r="AT13" s="16" t="s">
        <v>4</v>
      </c>
      <c r="AU13" s="16"/>
      <c r="AV13" s="16" t="s">
        <v>4</v>
      </c>
      <c r="AW13" s="17"/>
      <c r="AX13" s="16"/>
    </row>
    <row r="14">
      <c r="A14" s="109"/>
      <c r="B14" s="19" t="s">
        <v>17</v>
      </c>
      <c r="C14" s="16" t="s">
        <v>2</v>
      </c>
      <c r="D14" s="16" t="s">
        <v>4</v>
      </c>
      <c r="E14" s="16" t="s">
        <v>4</v>
      </c>
      <c r="F14" s="16" t="s">
        <v>4</v>
      </c>
      <c r="G14" s="16" t="s">
        <v>4</v>
      </c>
      <c r="H14" s="16" t="s">
        <v>4</v>
      </c>
      <c r="I14" s="16" t="s">
        <v>4</v>
      </c>
      <c r="J14" s="16" t="s">
        <v>4</v>
      </c>
      <c r="K14" s="16" t="s">
        <v>4</v>
      </c>
      <c r="L14" s="16" t="s">
        <v>4</v>
      </c>
      <c r="M14" s="16" t="s">
        <v>4</v>
      </c>
      <c r="N14" s="16" t="s">
        <v>4</v>
      </c>
      <c r="O14" s="16" t="s">
        <v>4</v>
      </c>
      <c r="P14" s="16" t="s">
        <v>4</v>
      </c>
      <c r="Q14" s="20"/>
      <c r="R14" s="16" t="s">
        <v>4</v>
      </c>
      <c r="S14" s="20"/>
      <c r="T14" s="16" t="s">
        <v>4</v>
      </c>
      <c r="U14" s="16" t="s">
        <v>4</v>
      </c>
      <c r="V14" s="16"/>
      <c r="W14" s="16"/>
      <c r="X14" s="16"/>
      <c r="Y14" s="16" t="s">
        <v>4</v>
      </c>
      <c r="Z14" s="16" t="s">
        <v>4</v>
      </c>
      <c r="AA14" s="20"/>
      <c r="AB14" s="16" t="s">
        <v>4</v>
      </c>
      <c r="AC14" s="16"/>
      <c r="AD14" s="16" t="s">
        <v>118</v>
      </c>
      <c r="AE14" s="16"/>
      <c r="AF14" s="16" t="s">
        <v>118</v>
      </c>
      <c r="AG14" s="16"/>
      <c r="AH14" s="16"/>
      <c r="AI14" s="16"/>
      <c r="AJ14" s="16"/>
      <c r="AK14" s="16"/>
      <c r="AL14" s="16"/>
      <c r="AM14" s="17"/>
      <c r="AN14" s="16"/>
      <c r="AO14" s="16"/>
      <c r="AP14" s="17"/>
      <c r="AQ14" s="16" t="s">
        <v>4</v>
      </c>
      <c r="AR14" s="17"/>
      <c r="AS14" s="17"/>
      <c r="AT14" s="16" t="s">
        <v>4</v>
      </c>
      <c r="AU14" s="16" t="s">
        <v>4</v>
      </c>
      <c r="AV14" s="16" t="s">
        <v>4</v>
      </c>
      <c r="AW14" s="17"/>
      <c r="AX14" s="16"/>
    </row>
    <row r="15">
      <c r="A15" s="109"/>
      <c r="B15" s="19" t="s">
        <v>101</v>
      </c>
      <c r="C15" s="16" t="s">
        <v>2</v>
      </c>
      <c r="D15" s="16" t="s">
        <v>4</v>
      </c>
      <c r="E15" s="20"/>
      <c r="F15" s="16"/>
      <c r="G15" s="20"/>
      <c r="H15" s="16"/>
      <c r="I15" s="20"/>
      <c r="J15" s="16"/>
      <c r="K15" s="20"/>
      <c r="L15" s="16"/>
      <c r="M15" s="16"/>
      <c r="N15" s="20"/>
      <c r="O15" s="16"/>
      <c r="P15" s="20"/>
      <c r="Q15" s="20"/>
      <c r="R15" s="16"/>
      <c r="S15" s="16"/>
      <c r="T15" s="20"/>
      <c r="U15" s="16" t="s">
        <v>4</v>
      </c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42"/>
      <c r="AN15" s="20"/>
      <c r="AO15" s="20"/>
      <c r="AP15" s="42"/>
      <c r="AQ15" s="20"/>
      <c r="AR15" s="42"/>
      <c r="AS15" s="42"/>
      <c r="AT15" s="20"/>
      <c r="AU15" s="20"/>
      <c r="AV15" s="20"/>
      <c r="AW15" s="42"/>
      <c r="AX15" s="20"/>
    </row>
    <row r="16">
      <c r="A16" s="109"/>
      <c r="B16" s="19" t="s">
        <v>102</v>
      </c>
      <c r="C16" s="16" t="s">
        <v>2</v>
      </c>
      <c r="D16" s="16" t="s">
        <v>4</v>
      </c>
      <c r="E16" s="20"/>
      <c r="F16" s="16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16" t="s">
        <v>4</v>
      </c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42"/>
      <c r="AN16" s="20"/>
      <c r="AO16" s="20"/>
      <c r="AP16" s="42"/>
      <c r="AQ16" s="20"/>
      <c r="AR16" s="42"/>
      <c r="AS16" s="42"/>
      <c r="AT16" s="20"/>
      <c r="AU16" s="20"/>
      <c r="AV16" s="20"/>
      <c r="AW16" s="42"/>
      <c r="AX16" s="20"/>
    </row>
    <row r="17">
      <c r="A17" s="141"/>
      <c r="B17" s="19" t="s">
        <v>117</v>
      </c>
      <c r="C17" s="16" t="s">
        <v>2</v>
      </c>
      <c r="D17" s="16"/>
      <c r="E17" s="16"/>
      <c r="F17" s="16"/>
      <c r="G17" s="16"/>
      <c r="H17" s="20"/>
      <c r="I17" s="20"/>
      <c r="J17" s="16"/>
      <c r="K17" s="16"/>
      <c r="L17" s="16"/>
      <c r="M17" s="16"/>
      <c r="N17" s="20"/>
      <c r="O17" s="16"/>
      <c r="P17" s="16" t="s">
        <v>4</v>
      </c>
      <c r="Q17" s="16" t="s">
        <v>4</v>
      </c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42"/>
      <c r="AN17" s="20"/>
      <c r="AO17" s="20"/>
      <c r="AP17" s="42"/>
      <c r="AQ17" s="20"/>
      <c r="AR17" s="42"/>
      <c r="AS17" s="42"/>
      <c r="AT17" s="20"/>
      <c r="AU17" s="20"/>
      <c r="AV17" s="20"/>
      <c r="AW17" s="42"/>
      <c r="AX17" s="20"/>
    </row>
    <row r="18">
      <c r="A18" s="109"/>
      <c r="B18" s="19" t="s">
        <v>141</v>
      </c>
      <c r="C18" s="16" t="s">
        <v>2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42"/>
      <c r="AN18" s="20"/>
      <c r="AO18" s="20"/>
      <c r="AP18" s="42"/>
      <c r="AQ18" s="20"/>
      <c r="AR18" s="42"/>
      <c r="AS18" s="42"/>
      <c r="AT18" s="20"/>
      <c r="AU18" s="20"/>
      <c r="AV18" s="20"/>
      <c r="AW18" s="42"/>
      <c r="AX18" s="20"/>
    </row>
    <row r="19">
      <c r="A19" s="109"/>
      <c r="B19" s="19" t="s">
        <v>103</v>
      </c>
      <c r="C19" s="16" t="s">
        <v>2</v>
      </c>
      <c r="D19" s="16" t="s">
        <v>4</v>
      </c>
      <c r="E19" s="16" t="s">
        <v>4</v>
      </c>
      <c r="F19" s="16" t="s">
        <v>4</v>
      </c>
      <c r="G19" s="16" t="s">
        <v>4</v>
      </c>
      <c r="H19" s="16" t="s">
        <v>4</v>
      </c>
      <c r="I19" s="16" t="s">
        <v>4</v>
      </c>
      <c r="J19" s="16"/>
      <c r="K19" s="16"/>
      <c r="L19" s="16" t="s">
        <v>4</v>
      </c>
      <c r="M19" s="16" t="s">
        <v>4</v>
      </c>
      <c r="N19" s="16" t="s">
        <v>4</v>
      </c>
      <c r="O19" s="20"/>
      <c r="P19" s="20"/>
      <c r="Q19" s="16" t="s">
        <v>4</v>
      </c>
      <c r="R19" s="16" t="s">
        <v>4</v>
      </c>
      <c r="S19" s="16"/>
      <c r="T19" s="20"/>
      <c r="U19" s="16" t="s">
        <v>4</v>
      </c>
      <c r="V19" s="16"/>
      <c r="W19" s="20"/>
      <c r="X19" s="20"/>
      <c r="Y19" s="20"/>
      <c r="Z19" s="16" t="s">
        <v>4</v>
      </c>
      <c r="AA19" s="20"/>
      <c r="AB19" s="20"/>
      <c r="AC19" s="20"/>
      <c r="AD19" s="20"/>
      <c r="AE19" s="20"/>
      <c r="AF19" s="16" t="s">
        <v>118</v>
      </c>
      <c r="AG19" s="16"/>
      <c r="AH19" s="16"/>
      <c r="AI19" s="16"/>
      <c r="AJ19" s="16"/>
      <c r="AK19" s="16"/>
      <c r="AL19" s="16"/>
      <c r="AM19" s="17"/>
      <c r="AN19" s="16"/>
      <c r="AO19" s="16" t="s">
        <v>4</v>
      </c>
      <c r="AP19" s="17"/>
      <c r="AQ19" s="16"/>
      <c r="AR19" s="17"/>
      <c r="AS19" s="17"/>
      <c r="AT19" s="16"/>
      <c r="AU19" s="16"/>
      <c r="AV19" s="16"/>
      <c r="AW19" s="17"/>
      <c r="AX19" s="16"/>
    </row>
    <row r="20">
      <c r="A20" s="109"/>
      <c r="B20" s="19" t="s">
        <v>104</v>
      </c>
      <c r="C20" s="16" t="s">
        <v>2</v>
      </c>
      <c r="D20" s="16" t="s">
        <v>4</v>
      </c>
      <c r="E20" s="16" t="s">
        <v>4</v>
      </c>
      <c r="F20" s="16" t="s">
        <v>4</v>
      </c>
      <c r="G20" s="16" t="s">
        <v>4</v>
      </c>
      <c r="H20" s="16" t="s">
        <v>4</v>
      </c>
      <c r="I20" s="16" t="s">
        <v>4</v>
      </c>
      <c r="J20" s="16"/>
      <c r="K20" s="16"/>
      <c r="L20" s="16" t="s">
        <v>4</v>
      </c>
      <c r="M20" s="16" t="s">
        <v>4</v>
      </c>
      <c r="N20" s="16"/>
      <c r="O20" s="20"/>
      <c r="P20" s="16" t="s">
        <v>4</v>
      </c>
      <c r="Q20" s="20"/>
      <c r="R20" s="16" t="s">
        <v>4</v>
      </c>
      <c r="S20" s="20"/>
      <c r="T20" s="16" t="s">
        <v>4</v>
      </c>
      <c r="U20" s="16"/>
      <c r="V20" s="20"/>
      <c r="W20" s="16" t="s">
        <v>4</v>
      </c>
      <c r="X20" s="16"/>
      <c r="Y20" s="20"/>
      <c r="Z20" s="16" t="s">
        <v>4</v>
      </c>
      <c r="AA20" s="20"/>
      <c r="AB20" s="20"/>
      <c r="AC20" s="16" t="s">
        <v>4</v>
      </c>
      <c r="AD20" s="16"/>
      <c r="AE20" s="16" t="s">
        <v>118</v>
      </c>
      <c r="AF20" s="16" t="s">
        <v>118</v>
      </c>
      <c r="AG20" s="16"/>
      <c r="AH20" s="16" t="s">
        <v>4</v>
      </c>
      <c r="AI20" s="16"/>
      <c r="AJ20" s="16"/>
      <c r="AK20" s="16"/>
      <c r="AL20" s="16"/>
      <c r="AM20" s="17"/>
      <c r="AN20" s="16" t="s">
        <v>4</v>
      </c>
      <c r="AO20" s="16" t="s">
        <v>4</v>
      </c>
      <c r="AP20" s="17"/>
      <c r="AQ20" s="16"/>
      <c r="AR20" s="17"/>
      <c r="AS20" s="17"/>
      <c r="AT20" s="16"/>
      <c r="AU20" s="16"/>
      <c r="AV20" s="16"/>
      <c r="AW20" s="17"/>
      <c r="AX20" s="16"/>
    </row>
    <row r="21">
      <c r="A21" s="109"/>
      <c r="B21" s="19" t="s">
        <v>19</v>
      </c>
      <c r="C21" s="16" t="s">
        <v>2</v>
      </c>
      <c r="D21" s="16" t="s">
        <v>4</v>
      </c>
      <c r="E21" s="16" t="s">
        <v>4</v>
      </c>
      <c r="F21" s="16" t="s">
        <v>4</v>
      </c>
      <c r="G21" s="16" t="s">
        <v>4</v>
      </c>
      <c r="H21" s="16"/>
      <c r="I21" s="16" t="s">
        <v>4</v>
      </c>
      <c r="J21" s="16" t="s">
        <v>4</v>
      </c>
      <c r="K21" s="16" t="s">
        <v>4</v>
      </c>
      <c r="L21" s="16" t="s">
        <v>4</v>
      </c>
      <c r="M21" s="16" t="s">
        <v>4</v>
      </c>
      <c r="N21" s="16" t="s">
        <v>4</v>
      </c>
      <c r="O21" s="16" t="s">
        <v>4</v>
      </c>
      <c r="P21" s="16" t="s">
        <v>4</v>
      </c>
      <c r="Q21" s="16"/>
      <c r="R21" s="16"/>
      <c r="S21" s="16" t="s">
        <v>4</v>
      </c>
      <c r="T21" s="16" t="s">
        <v>4</v>
      </c>
      <c r="U21" s="16" t="s">
        <v>4</v>
      </c>
      <c r="V21" s="16" t="s">
        <v>4</v>
      </c>
      <c r="W21" s="16" t="s">
        <v>4</v>
      </c>
      <c r="X21" s="16"/>
      <c r="Y21" s="16" t="s">
        <v>4</v>
      </c>
      <c r="Z21" s="16" t="s">
        <v>4</v>
      </c>
      <c r="AA21" s="16" t="s">
        <v>4</v>
      </c>
      <c r="AB21" s="16" t="s">
        <v>4</v>
      </c>
      <c r="AC21" s="16"/>
      <c r="AD21" s="16" t="s">
        <v>118</v>
      </c>
      <c r="AE21" s="16" t="s">
        <v>118</v>
      </c>
      <c r="AF21" s="16" t="s">
        <v>118</v>
      </c>
      <c r="AG21" s="16"/>
      <c r="AH21" s="16" t="s">
        <v>4</v>
      </c>
      <c r="AI21" s="16" t="s">
        <v>4</v>
      </c>
      <c r="AJ21" s="16" t="s">
        <v>4</v>
      </c>
      <c r="AK21" s="16" t="s">
        <v>4</v>
      </c>
      <c r="AL21" s="16"/>
      <c r="AM21" s="17"/>
      <c r="AN21" s="16" t="s">
        <v>4</v>
      </c>
      <c r="AO21" s="16" t="s">
        <v>4</v>
      </c>
      <c r="AP21" s="17"/>
      <c r="AQ21" s="16" t="s">
        <v>4</v>
      </c>
      <c r="AR21" s="17"/>
      <c r="AS21" s="17"/>
      <c r="AT21" s="16" t="s">
        <v>4</v>
      </c>
      <c r="AU21" s="16" t="s">
        <v>4</v>
      </c>
      <c r="AV21" s="16" t="s">
        <v>4</v>
      </c>
      <c r="AW21" s="17"/>
      <c r="AX21" s="16"/>
    </row>
    <row r="22">
      <c r="A22" s="109"/>
      <c r="B22" s="19" t="s">
        <v>20</v>
      </c>
      <c r="C22" s="16" t="s">
        <v>2</v>
      </c>
      <c r="D22" s="16" t="s">
        <v>4</v>
      </c>
      <c r="E22" s="16" t="s">
        <v>4</v>
      </c>
      <c r="F22" s="16" t="s">
        <v>4</v>
      </c>
      <c r="G22" s="16" t="s">
        <v>4</v>
      </c>
      <c r="H22" s="16"/>
      <c r="I22" s="16" t="s">
        <v>4</v>
      </c>
      <c r="J22" s="16" t="s">
        <v>4</v>
      </c>
      <c r="K22" s="16" t="s">
        <v>4</v>
      </c>
      <c r="L22" s="16" t="s">
        <v>4</v>
      </c>
      <c r="M22" s="16" t="s">
        <v>4</v>
      </c>
      <c r="N22" s="16" t="s">
        <v>4</v>
      </c>
      <c r="O22" s="16" t="s">
        <v>4</v>
      </c>
      <c r="P22" s="16" t="s">
        <v>4</v>
      </c>
      <c r="Q22" s="16"/>
      <c r="R22" s="16"/>
      <c r="S22" s="16" t="s">
        <v>4</v>
      </c>
      <c r="T22" s="16" t="s">
        <v>4</v>
      </c>
      <c r="U22" s="16" t="s">
        <v>4</v>
      </c>
      <c r="V22" s="16" t="s">
        <v>4</v>
      </c>
      <c r="W22" s="16" t="s">
        <v>4</v>
      </c>
      <c r="X22" s="16" t="s">
        <v>4</v>
      </c>
      <c r="Y22" s="16" t="s">
        <v>4</v>
      </c>
      <c r="Z22" s="16" t="s">
        <v>4</v>
      </c>
      <c r="AA22" s="16" t="s">
        <v>4</v>
      </c>
      <c r="AB22" s="16" t="s">
        <v>4</v>
      </c>
      <c r="AC22" s="16"/>
      <c r="AD22" s="16" t="s">
        <v>118</v>
      </c>
      <c r="AE22" s="16" t="s">
        <v>118</v>
      </c>
      <c r="AF22" s="16" t="s">
        <v>118</v>
      </c>
      <c r="AG22" s="16"/>
      <c r="AH22" s="16" t="s">
        <v>4</v>
      </c>
      <c r="AI22" s="16" t="s">
        <v>4</v>
      </c>
      <c r="AJ22" s="16" t="s">
        <v>4</v>
      </c>
      <c r="AK22" s="16" t="s">
        <v>4</v>
      </c>
      <c r="AL22" s="16"/>
      <c r="AM22" s="17"/>
      <c r="AN22" s="16" t="s">
        <v>4</v>
      </c>
      <c r="AO22" s="16" t="s">
        <v>4</v>
      </c>
      <c r="AP22" s="17"/>
      <c r="AQ22" s="16" t="s">
        <v>4</v>
      </c>
      <c r="AR22" s="17"/>
      <c r="AS22" s="17"/>
      <c r="AT22" s="16" t="s">
        <v>4</v>
      </c>
      <c r="AU22" s="16" t="s">
        <v>4</v>
      </c>
      <c r="AV22" s="16" t="s">
        <v>4</v>
      </c>
      <c r="AW22" s="17"/>
      <c r="AX22" s="16"/>
    </row>
    <row r="23">
      <c r="A23" s="109"/>
      <c r="B23" s="19" t="s">
        <v>142</v>
      </c>
      <c r="C23" s="16" t="s">
        <v>2</v>
      </c>
      <c r="D23" s="16" t="s">
        <v>4</v>
      </c>
      <c r="E23" s="16" t="s">
        <v>4</v>
      </c>
      <c r="F23" s="16" t="s">
        <v>4</v>
      </c>
      <c r="G23" s="16" t="s">
        <v>4</v>
      </c>
      <c r="H23" s="16"/>
      <c r="I23" s="16" t="s">
        <v>4</v>
      </c>
      <c r="J23" s="16" t="s">
        <v>4</v>
      </c>
      <c r="K23" s="16"/>
      <c r="L23" s="16" t="s">
        <v>4</v>
      </c>
      <c r="M23" s="16" t="s">
        <v>4</v>
      </c>
      <c r="N23" s="16" t="s">
        <v>4</v>
      </c>
      <c r="O23" s="16"/>
      <c r="P23" s="16"/>
      <c r="Q23" s="16"/>
      <c r="R23" s="20"/>
      <c r="S23" s="16" t="s">
        <v>4</v>
      </c>
      <c r="T23" s="16"/>
      <c r="U23" s="16" t="s">
        <v>4</v>
      </c>
      <c r="V23" s="16" t="s">
        <v>4</v>
      </c>
      <c r="W23" s="16" t="s">
        <v>4</v>
      </c>
      <c r="X23" s="16" t="s">
        <v>4</v>
      </c>
      <c r="Y23" s="16" t="s">
        <v>4</v>
      </c>
      <c r="Z23" s="16" t="s">
        <v>4</v>
      </c>
      <c r="AA23" s="16" t="s">
        <v>4</v>
      </c>
      <c r="AB23" s="16" t="s">
        <v>4</v>
      </c>
      <c r="AC23" s="16" t="s">
        <v>4</v>
      </c>
      <c r="AD23" s="16" t="s">
        <v>118</v>
      </c>
      <c r="AE23" s="16"/>
      <c r="AF23" s="16"/>
      <c r="AG23" s="16"/>
      <c r="AH23" s="16" t="s">
        <v>4</v>
      </c>
      <c r="AI23" s="16" t="s">
        <v>4</v>
      </c>
      <c r="AJ23" s="16" t="s">
        <v>4</v>
      </c>
      <c r="AK23" s="16"/>
      <c r="AL23" s="16"/>
      <c r="AM23" s="17"/>
      <c r="AN23" s="16"/>
      <c r="AO23" s="16" t="s">
        <v>4</v>
      </c>
      <c r="AP23" s="17"/>
      <c r="AQ23" s="16" t="s">
        <v>4</v>
      </c>
      <c r="AR23" s="17"/>
      <c r="AS23" s="17"/>
      <c r="AT23" s="16" t="s">
        <v>4</v>
      </c>
      <c r="AU23" s="16" t="s">
        <v>4</v>
      </c>
      <c r="AV23" s="16" t="s">
        <v>4</v>
      </c>
      <c r="AW23" s="17"/>
      <c r="AX23" s="16"/>
    </row>
    <row r="24">
      <c r="A24" s="109"/>
      <c r="B24" s="19" t="s">
        <v>143</v>
      </c>
      <c r="C24" s="16" t="s">
        <v>2</v>
      </c>
      <c r="D24" s="16" t="s">
        <v>4</v>
      </c>
      <c r="E24" s="16" t="s">
        <v>4</v>
      </c>
      <c r="F24" s="16" t="s">
        <v>4</v>
      </c>
      <c r="G24" s="16" t="s">
        <v>4</v>
      </c>
      <c r="H24" s="16"/>
      <c r="I24" s="16" t="s">
        <v>4</v>
      </c>
      <c r="J24" s="16" t="s">
        <v>4</v>
      </c>
      <c r="K24" s="16"/>
      <c r="L24" s="16" t="s">
        <v>4</v>
      </c>
      <c r="M24" s="16"/>
      <c r="N24" s="20"/>
      <c r="O24" s="20"/>
      <c r="P24" s="16"/>
      <c r="Q24" s="16"/>
      <c r="R24" s="20"/>
      <c r="S24" s="16" t="s">
        <v>4</v>
      </c>
      <c r="T24" s="16" t="s">
        <v>4</v>
      </c>
      <c r="U24" s="16" t="s">
        <v>4</v>
      </c>
      <c r="V24" s="16" t="s">
        <v>4</v>
      </c>
      <c r="W24" s="16" t="s">
        <v>4</v>
      </c>
      <c r="X24" s="16" t="s">
        <v>4</v>
      </c>
      <c r="Y24" s="16" t="s">
        <v>4</v>
      </c>
      <c r="Z24" s="20"/>
      <c r="AA24" s="16" t="s">
        <v>4</v>
      </c>
      <c r="AB24" s="16" t="s">
        <v>4</v>
      </c>
      <c r="AC24" s="16" t="s">
        <v>4</v>
      </c>
      <c r="AD24" s="16" t="s">
        <v>118</v>
      </c>
      <c r="AE24" s="16"/>
      <c r="AF24" s="16"/>
      <c r="AG24" s="16"/>
      <c r="AH24" s="16" t="s">
        <v>4</v>
      </c>
      <c r="AI24" s="16" t="s">
        <v>4</v>
      </c>
      <c r="AJ24" s="16" t="s">
        <v>4</v>
      </c>
      <c r="AK24" s="16"/>
      <c r="AL24" s="16"/>
      <c r="AM24" s="17"/>
      <c r="AN24" s="16"/>
      <c r="AO24" s="16"/>
      <c r="AP24" s="17"/>
      <c r="AQ24" s="16" t="s">
        <v>4</v>
      </c>
      <c r="AR24" s="17"/>
      <c r="AS24" s="17"/>
      <c r="AT24" s="16"/>
      <c r="AU24" s="16" t="s">
        <v>4</v>
      </c>
      <c r="AV24" s="16"/>
      <c r="AW24" s="17"/>
      <c r="AX24" s="16"/>
    </row>
    <row r="25">
      <c r="A25" s="109"/>
      <c r="B25" s="19" t="s">
        <v>21</v>
      </c>
      <c r="C25" s="16" t="s">
        <v>2</v>
      </c>
      <c r="D25" s="16" t="s">
        <v>4</v>
      </c>
      <c r="E25" s="16" t="s">
        <v>4</v>
      </c>
      <c r="F25" s="16" t="s">
        <v>4</v>
      </c>
      <c r="G25" s="16" t="s">
        <v>4</v>
      </c>
      <c r="H25" s="16" t="s">
        <v>4</v>
      </c>
      <c r="I25" s="16" t="s">
        <v>4</v>
      </c>
      <c r="J25" s="16"/>
      <c r="K25" s="16" t="s">
        <v>4</v>
      </c>
      <c r="L25" s="16" t="s">
        <v>4</v>
      </c>
      <c r="M25" s="16"/>
      <c r="N25" s="16"/>
      <c r="O25" s="16" t="s">
        <v>4</v>
      </c>
      <c r="P25" s="16" t="s">
        <v>4</v>
      </c>
      <c r="Q25" s="20"/>
      <c r="R25" s="16" t="s">
        <v>4</v>
      </c>
      <c r="S25" s="16" t="s">
        <v>4</v>
      </c>
      <c r="T25" s="20"/>
      <c r="U25" s="16" t="s">
        <v>4</v>
      </c>
      <c r="V25" s="16" t="s">
        <v>4</v>
      </c>
      <c r="W25" s="16" t="s">
        <v>4</v>
      </c>
      <c r="X25" s="16" t="s">
        <v>4</v>
      </c>
      <c r="Y25" s="16" t="s">
        <v>4</v>
      </c>
      <c r="Z25" s="16" t="s">
        <v>4</v>
      </c>
      <c r="AA25" s="16" t="s">
        <v>4</v>
      </c>
      <c r="AB25" s="16" t="s">
        <v>4</v>
      </c>
      <c r="AC25" s="16"/>
      <c r="AD25" s="16"/>
      <c r="AE25" s="16" t="s">
        <v>118</v>
      </c>
      <c r="AF25" s="16" t="s">
        <v>118</v>
      </c>
      <c r="AG25" s="16"/>
      <c r="AH25" s="16" t="s">
        <v>4</v>
      </c>
      <c r="AI25" s="16"/>
      <c r="AJ25" s="16" t="s">
        <v>4</v>
      </c>
      <c r="AK25" s="16"/>
      <c r="AL25" s="16"/>
      <c r="AM25" s="17"/>
      <c r="AN25" s="16" t="s">
        <v>4</v>
      </c>
      <c r="AO25" s="16" t="s">
        <v>4</v>
      </c>
      <c r="AP25" s="17"/>
      <c r="AQ25" s="16" t="s">
        <v>4</v>
      </c>
      <c r="AR25" s="17"/>
      <c r="AS25" s="17"/>
      <c r="AT25" s="16" t="s">
        <v>4</v>
      </c>
      <c r="AU25" s="16" t="s">
        <v>4</v>
      </c>
      <c r="AV25" s="16" t="s">
        <v>4</v>
      </c>
      <c r="AW25" s="17"/>
      <c r="AX25" s="16"/>
    </row>
    <row r="26">
      <c r="A26" s="109"/>
      <c r="B26" s="19" t="s">
        <v>22</v>
      </c>
      <c r="C26" s="16" t="s">
        <v>2</v>
      </c>
      <c r="D26" s="16" t="s">
        <v>4</v>
      </c>
      <c r="E26" s="16" t="s">
        <v>4</v>
      </c>
      <c r="F26" s="16" t="s">
        <v>4</v>
      </c>
      <c r="G26" s="16" t="s">
        <v>4</v>
      </c>
      <c r="H26" s="16" t="s">
        <v>4</v>
      </c>
      <c r="I26" s="16" t="s">
        <v>4</v>
      </c>
      <c r="J26" s="16"/>
      <c r="K26" s="16" t="s">
        <v>4</v>
      </c>
      <c r="L26" s="16" t="s">
        <v>4</v>
      </c>
      <c r="M26" s="16"/>
      <c r="N26" s="16" t="s">
        <v>4</v>
      </c>
      <c r="O26" s="16" t="s">
        <v>4</v>
      </c>
      <c r="P26" s="16" t="s">
        <v>4</v>
      </c>
      <c r="Q26" s="20"/>
      <c r="R26" s="16" t="s">
        <v>4</v>
      </c>
      <c r="S26" s="16" t="s">
        <v>4</v>
      </c>
      <c r="T26" s="16"/>
      <c r="U26" s="16" t="s">
        <v>4</v>
      </c>
      <c r="V26" s="16" t="s">
        <v>4</v>
      </c>
      <c r="W26" s="16" t="s">
        <v>4</v>
      </c>
      <c r="X26" s="16" t="s">
        <v>4</v>
      </c>
      <c r="Y26" s="16" t="s">
        <v>4</v>
      </c>
      <c r="Z26" s="16" t="s">
        <v>4</v>
      </c>
      <c r="AA26" s="16" t="s">
        <v>4</v>
      </c>
      <c r="AB26" s="16" t="s">
        <v>4</v>
      </c>
      <c r="AC26" s="16"/>
      <c r="AD26" s="16"/>
      <c r="AE26" s="16" t="s">
        <v>118</v>
      </c>
      <c r="AF26" s="16" t="s">
        <v>118</v>
      </c>
      <c r="AG26" s="16"/>
      <c r="AH26" s="16" t="s">
        <v>4</v>
      </c>
      <c r="AI26" s="16"/>
      <c r="AJ26" s="16" t="s">
        <v>4</v>
      </c>
      <c r="AK26" s="16"/>
      <c r="AL26" s="16"/>
      <c r="AM26" s="17"/>
      <c r="AN26" s="16"/>
      <c r="AO26" s="16" t="s">
        <v>4</v>
      </c>
      <c r="AP26" s="17"/>
      <c r="AQ26" s="16" t="s">
        <v>4</v>
      </c>
      <c r="AR26" s="17"/>
      <c r="AS26" s="17"/>
      <c r="AT26" s="16" t="s">
        <v>4</v>
      </c>
      <c r="AU26" s="16" t="s">
        <v>4</v>
      </c>
      <c r="AV26" s="16" t="s">
        <v>4</v>
      </c>
      <c r="AW26" s="17"/>
      <c r="AX26" s="16" t="s">
        <v>4</v>
      </c>
    </row>
    <row r="27">
      <c r="A27" s="109"/>
      <c r="B27" s="19" t="s">
        <v>222</v>
      </c>
      <c r="C27" s="16" t="s">
        <v>2</v>
      </c>
      <c r="D27" s="16" t="s">
        <v>4</v>
      </c>
      <c r="E27" s="16" t="s">
        <v>4</v>
      </c>
      <c r="F27" s="16" t="s">
        <v>4</v>
      </c>
      <c r="G27" s="16" t="s">
        <v>4</v>
      </c>
      <c r="H27" s="16" t="s">
        <v>4</v>
      </c>
      <c r="I27" s="16" t="s">
        <v>4</v>
      </c>
      <c r="J27" s="16" t="s">
        <v>4</v>
      </c>
      <c r="K27" s="16" t="s">
        <v>4</v>
      </c>
      <c r="L27" s="16"/>
      <c r="M27" s="16" t="s">
        <v>4</v>
      </c>
      <c r="N27" s="16" t="s">
        <v>4</v>
      </c>
      <c r="O27" s="16" t="s">
        <v>4</v>
      </c>
      <c r="P27" s="20"/>
      <c r="Q27" s="16" t="s">
        <v>4</v>
      </c>
      <c r="R27" s="16" t="s">
        <v>4</v>
      </c>
      <c r="S27" s="16" t="s">
        <v>4</v>
      </c>
      <c r="T27" s="16" t="s">
        <v>4</v>
      </c>
      <c r="U27" s="16" t="s">
        <v>4</v>
      </c>
      <c r="V27" s="16" t="s">
        <v>4</v>
      </c>
      <c r="W27" s="16" t="s">
        <v>4</v>
      </c>
      <c r="X27" s="16"/>
      <c r="Y27" s="16" t="s">
        <v>4</v>
      </c>
      <c r="Z27" s="20"/>
      <c r="AA27" s="16" t="s">
        <v>4</v>
      </c>
      <c r="AB27" s="16" t="s">
        <v>4</v>
      </c>
      <c r="AC27" s="16"/>
      <c r="AD27" s="16" t="s">
        <v>118</v>
      </c>
      <c r="AE27" s="16"/>
      <c r="AF27" s="16" t="s">
        <v>118</v>
      </c>
      <c r="AG27" s="16"/>
      <c r="AH27" s="16" t="s">
        <v>4</v>
      </c>
      <c r="AI27" s="16" t="s">
        <v>4</v>
      </c>
      <c r="AJ27" s="16" t="s">
        <v>4</v>
      </c>
      <c r="AK27" s="16" t="s">
        <v>4</v>
      </c>
      <c r="AL27" s="16"/>
      <c r="AM27" s="17"/>
      <c r="AN27" s="16" t="s">
        <v>4</v>
      </c>
      <c r="AO27" s="16" t="s">
        <v>4</v>
      </c>
      <c r="AP27" s="17"/>
      <c r="AQ27" s="16"/>
      <c r="AR27" s="17"/>
      <c r="AS27" s="17"/>
      <c r="AT27" s="16" t="s">
        <v>4</v>
      </c>
      <c r="AU27" s="16" t="s">
        <v>4</v>
      </c>
      <c r="AV27" s="16" t="s">
        <v>4</v>
      </c>
      <c r="AW27" s="17"/>
      <c r="AX27" s="16" t="s">
        <v>4</v>
      </c>
    </row>
    <row r="28">
      <c r="A28" s="109"/>
      <c r="B28" s="19" t="s">
        <v>144</v>
      </c>
      <c r="C28" s="16" t="s">
        <v>2</v>
      </c>
      <c r="D28" s="20"/>
      <c r="E28" s="16" t="s">
        <v>4</v>
      </c>
      <c r="F28" s="16" t="s">
        <v>4</v>
      </c>
      <c r="G28" s="16" t="s">
        <v>4</v>
      </c>
      <c r="H28" s="16" t="s">
        <v>4</v>
      </c>
      <c r="I28" s="16" t="s">
        <v>4</v>
      </c>
      <c r="J28" s="16" t="s">
        <v>4</v>
      </c>
      <c r="K28" s="16" t="s">
        <v>4</v>
      </c>
      <c r="L28" s="16" t="s">
        <v>4</v>
      </c>
      <c r="M28" s="16"/>
      <c r="N28" s="16"/>
      <c r="O28" s="16" t="s">
        <v>4</v>
      </c>
      <c r="P28" s="16" t="s">
        <v>4</v>
      </c>
      <c r="Q28" s="16"/>
      <c r="R28" s="16" t="s">
        <v>4</v>
      </c>
      <c r="S28" s="16"/>
      <c r="T28" s="16" t="s">
        <v>4</v>
      </c>
      <c r="U28" s="16" t="s">
        <v>4</v>
      </c>
      <c r="V28" s="16" t="s">
        <v>4</v>
      </c>
      <c r="W28" s="20"/>
      <c r="X28" s="16" t="s">
        <v>4</v>
      </c>
      <c r="Y28" s="16" t="s">
        <v>4</v>
      </c>
      <c r="Z28" s="16" t="s">
        <v>4</v>
      </c>
      <c r="AA28" s="16" t="s">
        <v>4</v>
      </c>
      <c r="AB28" s="16"/>
      <c r="AC28" s="16"/>
      <c r="AD28" s="16" t="s">
        <v>118</v>
      </c>
      <c r="AE28" s="16"/>
      <c r="AF28" s="16"/>
      <c r="AG28" s="16"/>
      <c r="AH28" s="16"/>
      <c r="AI28" s="16"/>
      <c r="AJ28" s="16" t="s">
        <v>4</v>
      </c>
      <c r="AK28" s="16" t="s">
        <v>4</v>
      </c>
      <c r="AL28" s="16"/>
      <c r="AM28" s="17"/>
      <c r="AN28" s="16"/>
      <c r="AO28" s="16" t="s">
        <v>4</v>
      </c>
      <c r="AP28" s="17"/>
      <c r="AQ28" s="16" t="s">
        <v>4</v>
      </c>
      <c r="AR28" s="17"/>
      <c r="AS28" s="17"/>
      <c r="AT28" s="16"/>
      <c r="AU28" s="16" t="s">
        <v>4</v>
      </c>
      <c r="AV28" s="16" t="s">
        <v>4</v>
      </c>
      <c r="AW28" s="17"/>
      <c r="AX28" s="16"/>
    </row>
    <row r="29">
      <c r="A29" s="109"/>
      <c r="B29" s="19" t="s">
        <v>24</v>
      </c>
      <c r="C29" s="16" t="s">
        <v>2</v>
      </c>
      <c r="D29" s="16" t="s">
        <v>4</v>
      </c>
      <c r="E29" s="16"/>
      <c r="F29" s="16" t="s">
        <v>4</v>
      </c>
      <c r="G29" s="16" t="s">
        <v>4</v>
      </c>
      <c r="H29" s="16" t="s">
        <v>4</v>
      </c>
      <c r="I29" s="16" t="s">
        <v>4</v>
      </c>
      <c r="J29" s="16" t="s">
        <v>4</v>
      </c>
      <c r="K29" s="16" t="s">
        <v>4</v>
      </c>
      <c r="L29" s="16"/>
      <c r="M29" s="16" t="s">
        <v>4</v>
      </c>
      <c r="N29" s="16" t="s">
        <v>4</v>
      </c>
      <c r="O29" s="16" t="s">
        <v>4</v>
      </c>
      <c r="P29" s="16"/>
      <c r="Q29" s="16" t="s">
        <v>4</v>
      </c>
      <c r="R29" s="16" t="s">
        <v>4</v>
      </c>
      <c r="S29" s="16" t="s">
        <v>4</v>
      </c>
      <c r="T29" s="16"/>
      <c r="U29" s="16" t="s">
        <v>4</v>
      </c>
      <c r="V29" s="16"/>
      <c r="W29" s="16" t="s">
        <v>4</v>
      </c>
      <c r="X29" s="16" t="s">
        <v>4</v>
      </c>
      <c r="Y29" s="16" t="s">
        <v>4</v>
      </c>
      <c r="Z29" s="20"/>
      <c r="AA29" s="16" t="s">
        <v>4</v>
      </c>
      <c r="AB29" s="16" t="s">
        <v>4</v>
      </c>
      <c r="AC29" s="16" t="s">
        <v>4</v>
      </c>
      <c r="AD29" s="16" t="s">
        <v>118</v>
      </c>
      <c r="AE29" s="16"/>
      <c r="AF29" s="16" t="s">
        <v>118</v>
      </c>
      <c r="AG29" s="16"/>
      <c r="AH29" s="16"/>
      <c r="AI29" s="16" t="s">
        <v>4</v>
      </c>
      <c r="AJ29" s="16" t="s">
        <v>4</v>
      </c>
      <c r="AK29" s="16" t="s">
        <v>4</v>
      </c>
      <c r="AL29" s="16"/>
      <c r="AM29" s="17"/>
      <c r="AN29" s="16" t="s">
        <v>4</v>
      </c>
      <c r="AO29" s="16"/>
      <c r="AP29" s="17"/>
      <c r="AQ29" s="16" t="s">
        <v>4</v>
      </c>
      <c r="AR29" s="17"/>
      <c r="AS29" s="17"/>
      <c r="AT29" s="16"/>
      <c r="AU29" s="16" t="s">
        <v>4</v>
      </c>
      <c r="AV29" s="16" t="s">
        <v>4</v>
      </c>
      <c r="AW29" s="17"/>
      <c r="AX29" s="16"/>
    </row>
    <row r="30">
      <c r="A30" s="109"/>
      <c r="B30" s="19" t="s">
        <v>25</v>
      </c>
      <c r="C30" s="16" t="s">
        <v>2</v>
      </c>
      <c r="D30" s="16" t="s">
        <v>4</v>
      </c>
      <c r="E30" s="16"/>
      <c r="F30" s="16" t="s">
        <v>4</v>
      </c>
      <c r="G30" s="16" t="s">
        <v>4</v>
      </c>
      <c r="H30" s="16" t="s">
        <v>4</v>
      </c>
      <c r="I30" s="16" t="s">
        <v>4</v>
      </c>
      <c r="J30" s="16" t="s">
        <v>4</v>
      </c>
      <c r="K30" s="16" t="s">
        <v>4</v>
      </c>
      <c r="L30" s="16"/>
      <c r="M30" s="16" t="s">
        <v>4</v>
      </c>
      <c r="N30" s="16" t="s">
        <v>4</v>
      </c>
      <c r="O30" s="16" t="s">
        <v>4</v>
      </c>
      <c r="P30" s="16"/>
      <c r="Q30" s="16" t="s">
        <v>4</v>
      </c>
      <c r="R30" s="16" t="s">
        <v>4</v>
      </c>
      <c r="S30" s="16" t="s">
        <v>4</v>
      </c>
      <c r="T30" s="16"/>
      <c r="U30" s="16" t="s">
        <v>4</v>
      </c>
      <c r="V30" s="16"/>
      <c r="W30" s="16" t="s">
        <v>4</v>
      </c>
      <c r="X30" s="16" t="s">
        <v>4</v>
      </c>
      <c r="Y30" s="16" t="s">
        <v>4</v>
      </c>
      <c r="Z30" s="20"/>
      <c r="AA30" s="16" t="s">
        <v>4</v>
      </c>
      <c r="AB30" s="16" t="s">
        <v>4</v>
      </c>
      <c r="AC30" s="16" t="s">
        <v>4</v>
      </c>
      <c r="AD30" s="16" t="s">
        <v>118</v>
      </c>
      <c r="AE30" s="16"/>
      <c r="AF30" s="16" t="s">
        <v>118</v>
      </c>
      <c r="AG30" s="16"/>
      <c r="AH30" s="16"/>
      <c r="AI30" s="16" t="s">
        <v>4</v>
      </c>
      <c r="AJ30" s="16" t="s">
        <v>4</v>
      </c>
      <c r="AK30" s="16"/>
      <c r="AL30" s="16"/>
      <c r="AM30" s="17"/>
      <c r="AN30" s="16" t="s">
        <v>4</v>
      </c>
      <c r="AO30" s="16"/>
      <c r="AP30" s="17"/>
      <c r="AQ30" s="16" t="s">
        <v>4</v>
      </c>
      <c r="AR30" s="17"/>
      <c r="AS30" s="17"/>
      <c r="AT30" s="16"/>
      <c r="AU30" s="16"/>
      <c r="AV30" s="16" t="s">
        <v>4</v>
      </c>
      <c r="AW30" s="17"/>
      <c r="AX30" s="16"/>
    </row>
    <row r="31">
      <c r="A31" s="109"/>
      <c r="B31" s="19" t="s">
        <v>145</v>
      </c>
      <c r="C31" s="16" t="s">
        <v>2</v>
      </c>
      <c r="D31" s="20"/>
      <c r="E31" s="16"/>
      <c r="F31" s="20"/>
      <c r="G31" s="20"/>
      <c r="H31" s="20"/>
      <c r="I31" s="20"/>
      <c r="J31" s="20"/>
      <c r="K31" s="20"/>
      <c r="L31" s="16"/>
      <c r="M31" s="20"/>
      <c r="N31" s="20"/>
      <c r="O31" s="20"/>
      <c r="P31" s="20"/>
      <c r="Q31" s="20"/>
      <c r="R31" s="20"/>
      <c r="S31" s="20"/>
      <c r="T31" s="16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42"/>
      <c r="AN31" s="20"/>
      <c r="AO31" s="20"/>
      <c r="AP31" s="42"/>
      <c r="AQ31" s="20"/>
      <c r="AR31" s="42"/>
      <c r="AS31" s="42"/>
      <c r="AT31" s="20"/>
      <c r="AU31" s="20"/>
      <c r="AV31" s="20"/>
      <c r="AW31" s="42"/>
      <c r="AX31" s="20"/>
    </row>
    <row r="32">
      <c r="A32" s="109"/>
      <c r="B32" s="19" t="s">
        <v>146</v>
      </c>
      <c r="C32" s="16" t="s">
        <v>2</v>
      </c>
      <c r="D32" s="16" t="s">
        <v>4</v>
      </c>
      <c r="E32" s="16" t="s">
        <v>4</v>
      </c>
      <c r="F32" s="16" t="s">
        <v>4</v>
      </c>
      <c r="G32" s="16" t="s">
        <v>4</v>
      </c>
      <c r="H32" s="16" t="s">
        <v>4</v>
      </c>
      <c r="I32" s="16" t="s">
        <v>4</v>
      </c>
      <c r="J32" s="16"/>
      <c r="K32" s="16" t="s">
        <v>4</v>
      </c>
      <c r="L32" s="20"/>
      <c r="M32" s="16" t="s">
        <v>4</v>
      </c>
      <c r="N32" s="16" t="s">
        <v>4</v>
      </c>
      <c r="O32" s="16" t="s">
        <v>4</v>
      </c>
      <c r="P32" s="16"/>
      <c r="Q32" s="16" t="s">
        <v>4</v>
      </c>
      <c r="R32" s="16" t="s">
        <v>4</v>
      </c>
      <c r="S32" s="16"/>
      <c r="T32" s="16"/>
      <c r="U32" s="16" t="s">
        <v>4</v>
      </c>
      <c r="V32" s="16"/>
      <c r="W32" s="16"/>
      <c r="X32" s="16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42"/>
      <c r="AN32" s="20"/>
      <c r="AO32" s="20"/>
      <c r="AP32" s="42"/>
      <c r="AQ32" s="20"/>
      <c r="AR32" s="42"/>
      <c r="AS32" s="42"/>
      <c r="AT32" s="20"/>
      <c r="AU32" s="20"/>
      <c r="AV32" s="20"/>
      <c r="AW32" s="42"/>
      <c r="AX32" s="20"/>
    </row>
    <row r="33">
      <c r="A33" s="109"/>
      <c r="B33" s="19" t="s">
        <v>105</v>
      </c>
      <c r="C33" s="16" t="s">
        <v>2</v>
      </c>
      <c r="D33" s="16" t="s">
        <v>4</v>
      </c>
      <c r="E33" s="20"/>
      <c r="F33" s="20"/>
      <c r="G33" s="20"/>
      <c r="H33" s="20"/>
      <c r="I33" s="16" t="s">
        <v>4</v>
      </c>
      <c r="J33" s="20"/>
      <c r="K33" s="20"/>
      <c r="L33" s="16" t="s">
        <v>4</v>
      </c>
      <c r="M33" s="20"/>
      <c r="N33" s="20"/>
      <c r="O33" s="16" t="s">
        <v>4</v>
      </c>
      <c r="P33" s="20"/>
      <c r="Q33" s="20"/>
      <c r="R33" s="20"/>
      <c r="S33" s="20"/>
      <c r="T33" s="20"/>
      <c r="U33" s="20"/>
      <c r="V33" s="20"/>
      <c r="W33" s="16" t="s">
        <v>4</v>
      </c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42"/>
      <c r="AN33" s="20"/>
      <c r="AO33" s="20"/>
      <c r="AP33" s="42"/>
      <c r="AQ33" s="20"/>
      <c r="AR33" s="42"/>
      <c r="AS33" s="42"/>
      <c r="AT33" s="16" t="s">
        <v>4</v>
      </c>
      <c r="AU33" s="20"/>
      <c r="AV33" s="16" t="s">
        <v>4</v>
      </c>
      <c r="AW33" s="42"/>
      <c r="AX33" s="16"/>
    </row>
    <row r="34">
      <c r="A34" s="109"/>
      <c r="B34" s="19" t="s">
        <v>106</v>
      </c>
      <c r="C34" s="16" t="s">
        <v>2</v>
      </c>
      <c r="D34" s="16"/>
      <c r="E34" s="20"/>
      <c r="F34" s="20"/>
      <c r="G34" s="20"/>
      <c r="H34" s="20"/>
      <c r="I34" s="16" t="s">
        <v>4</v>
      </c>
      <c r="J34" s="20"/>
      <c r="K34" s="20"/>
      <c r="L34" s="20"/>
      <c r="M34" s="20"/>
      <c r="N34" s="20"/>
      <c r="O34" s="16" t="s">
        <v>4</v>
      </c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16" t="s">
        <v>4</v>
      </c>
      <c r="AK34" s="20"/>
      <c r="AL34" s="20"/>
      <c r="AM34" s="42"/>
      <c r="AN34" s="20"/>
      <c r="AO34" s="20"/>
      <c r="AP34" s="42"/>
      <c r="AQ34" s="20"/>
      <c r="AR34" s="42"/>
      <c r="AS34" s="42"/>
      <c r="AT34" s="16" t="s">
        <v>4</v>
      </c>
      <c r="AU34" s="20"/>
      <c r="AV34" s="16" t="s">
        <v>4</v>
      </c>
      <c r="AW34" s="42"/>
      <c r="AX34" s="16"/>
    </row>
    <row r="35">
      <c r="A35" s="109"/>
      <c r="B35" s="19" t="s">
        <v>147</v>
      </c>
      <c r="C35" s="16" t="s">
        <v>2</v>
      </c>
      <c r="D35" s="16" t="s">
        <v>4</v>
      </c>
      <c r="E35" s="16" t="s">
        <v>4</v>
      </c>
      <c r="F35" s="16"/>
      <c r="G35" s="16" t="s">
        <v>4</v>
      </c>
      <c r="H35" s="16" t="s">
        <v>4</v>
      </c>
      <c r="I35" s="16" t="s">
        <v>4</v>
      </c>
      <c r="J35" s="16" t="s">
        <v>4</v>
      </c>
      <c r="K35" s="16" t="s">
        <v>4</v>
      </c>
      <c r="L35" s="16"/>
      <c r="M35" s="16" t="s">
        <v>4</v>
      </c>
      <c r="N35" s="16" t="s">
        <v>4</v>
      </c>
      <c r="O35" s="16"/>
      <c r="P35" s="16"/>
      <c r="Q35" s="16"/>
      <c r="R35" s="20"/>
      <c r="S35" s="16"/>
      <c r="T35" s="20"/>
      <c r="U35" s="20"/>
      <c r="V35" s="20"/>
      <c r="W35" s="16" t="s">
        <v>4</v>
      </c>
      <c r="X35" s="16"/>
      <c r="Y35" s="20"/>
      <c r="Z35" s="16" t="s">
        <v>4</v>
      </c>
      <c r="AA35" s="16" t="s">
        <v>4</v>
      </c>
      <c r="AB35" s="16"/>
      <c r="AC35" s="16"/>
      <c r="AD35" s="16" t="s">
        <v>118</v>
      </c>
      <c r="AE35" s="16"/>
      <c r="AF35" s="16" t="s">
        <v>118</v>
      </c>
      <c r="AG35" s="16"/>
      <c r="AH35" s="16" t="s">
        <v>4</v>
      </c>
      <c r="AI35" s="16"/>
      <c r="AJ35" s="16"/>
      <c r="AK35" s="16"/>
      <c r="AL35" s="16"/>
      <c r="AM35" s="17"/>
      <c r="AN35" s="16"/>
      <c r="AO35" s="16" t="s">
        <v>4</v>
      </c>
      <c r="AP35" s="17"/>
      <c r="AQ35" s="16" t="s">
        <v>4</v>
      </c>
      <c r="AR35" s="17"/>
      <c r="AS35" s="17"/>
      <c r="AT35" s="16" t="s">
        <v>4</v>
      </c>
      <c r="AU35" s="16" t="s">
        <v>4</v>
      </c>
      <c r="AV35" s="16" t="s">
        <v>4</v>
      </c>
      <c r="AW35" s="17"/>
      <c r="AX35" s="16" t="s">
        <v>4</v>
      </c>
    </row>
    <row r="36">
      <c r="A36" s="109"/>
      <c r="B36" s="19" t="s">
        <v>107</v>
      </c>
      <c r="C36" s="16" t="s">
        <v>2</v>
      </c>
      <c r="D36" s="16" t="s">
        <v>4</v>
      </c>
      <c r="E36" s="16" t="s">
        <v>4</v>
      </c>
      <c r="F36" s="16"/>
      <c r="G36" s="16" t="s">
        <v>4</v>
      </c>
      <c r="H36" s="16"/>
      <c r="I36" s="16" t="s">
        <v>4</v>
      </c>
      <c r="J36" s="20"/>
      <c r="K36" s="16"/>
      <c r="L36" s="16"/>
      <c r="M36" s="16" t="s">
        <v>4</v>
      </c>
      <c r="N36" s="20"/>
      <c r="O36" s="16" t="s">
        <v>4</v>
      </c>
      <c r="P36" s="20"/>
      <c r="Q36" s="20"/>
      <c r="R36" s="16" t="s">
        <v>4</v>
      </c>
      <c r="S36" s="16"/>
      <c r="T36" s="16"/>
      <c r="U36" s="16"/>
      <c r="V36" s="16"/>
      <c r="W36" s="16" t="s">
        <v>4</v>
      </c>
      <c r="X36" s="16" t="s">
        <v>4</v>
      </c>
      <c r="Y36" s="16" t="s">
        <v>4</v>
      </c>
      <c r="Z36" s="20"/>
      <c r="AA36" s="20"/>
      <c r="AB36" s="20"/>
      <c r="AC36" s="16" t="s">
        <v>4</v>
      </c>
      <c r="AD36" s="16"/>
      <c r="AE36" s="16"/>
      <c r="AF36" s="16" t="s">
        <v>118</v>
      </c>
      <c r="AG36" s="16"/>
      <c r="AH36" s="16"/>
      <c r="AI36" s="16"/>
      <c r="AJ36" s="16"/>
      <c r="AK36" s="16"/>
      <c r="AL36" s="16"/>
      <c r="AM36" s="17"/>
      <c r="AN36" s="16"/>
      <c r="AO36" s="16"/>
      <c r="AP36" s="17"/>
      <c r="AQ36" s="16"/>
      <c r="AR36" s="17"/>
      <c r="AS36" s="17"/>
      <c r="AT36" s="16"/>
      <c r="AU36" s="16"/>
      <c r="AV36" s="16" t="s">
        <v>4</v>
      </c>
      <c r="AW36" s="17"/>
      <c r="AX36" s="16" t="s">
        <v>4</v>
      </c>
    </row>
    <row r="37">
      <c r="A37" s="109"/>
      <c r="B37" s="19" t="s">
        <v>108</v>
      </c>
      <c r="C37" s="16" t="s">
        <v>2</v>
      </c>
      <c r="D37" s="16" t="s">
        <v>4</v>
      </c>
      <c r="E37" s="16" t="s">
        <v>4</v>
      </c>
      <c r="F37" s="16"/>
      <c r="G37" s="16" t="s">
        <v>4</v>
      </c>
      <c r="H37" s="16"/>
      <c r="I37" s="16" t="s">
        <v>4</v>
      </c>
      <c r="J37" s="16"/>
      <c r="K37" s="16"/>
      <c r="L37" s="16"/>
      <c r="M37" s="16" t="s">
        <v>4</v>
      </c>
      <c r="N37" s="20"/>
      <c r="O37" s="16" t="s">
        <v>4</v>
      </c>
      <c r="P37" s="20"/>
      <c r="Q37" s="20"/>
      <c r="R37" s="16" t="s">
        <v>4</v>
      </c>
      <c r="S37" s="16"/>
      <c r="T37" s="16"/>
      <c r="U37" s="16"/>
      <c r="V37" s="16"/>
      <c r="W37" s="16" t="s">
        <v>4</v>
      </c>
      <c r="X37" s="16" t="s">
        <v>4</v>
      </c>
      <c r="Y37" s="16" t="s">
        <v>4</v>
      </c>
      <c r="Z37" s="20"/>
      <c r="AA37" s="20"/>
      <c r="AB37" s="16"/>
      <c r="AC37" s="16" t="s">
        <v>4</v>
      </c>
      <c r="AD37" s="16"/>
      <c r="AE37" s="16"/>
      <c r="AF37" s="16" t="s">
        <v>118</v>
      </c>
      <c r="AG37" s="16"/>
      <c r="AH37" s="16"/>
      <c r="AI37" s="16"/>
      <c r="AJ37" s="16"/>
      <c r="AK37" s="16"/>
      <c r="AL37" s="16"/>
      <c r="AM37" s="17"/>
      <c r="AN37" s="16"/>
      <c r="AO37" s="16" t="s">
        <v>4</v>
      </c>
      <c r="AP37" s="17"/>
      <c r="AQ37" s="16"/>
      <c r="AR37" s="17"/>
      <c r="AS37" s="17"/>
      <c r="AT37" s="16"/>
      <c r="AU37" s="16"/>
      <c r="AV37" s="16" t="s">
        <v>4</v>
      </c>
      <c r="AW37" s="17"/>
      <c r="AX37" s="16" t="s">
        <v>4</v>
      </c>
    </row>
    <row r="38">
      <c r="A38" s="109"/>
      <c r="B38" s="19" t="s">
        <v>27</v>
      </c>
      <c r="C38" s="16" t="s">
        <v>2</v>
      </c>
      <c r="D38" s="16" t="s">
        <v>4</v>
      </c>
      <c r="E38" s="16" t="s">
        <v>4</v>
      </c>
      <c r="F38" s="16" t="s">
        <v>4</v>
      </c>
      <c r="G38" s="20"/>
      <c r="H38" s="16"/>
      <c r="I38" s="16" t="s">
        <v>4</v>
      </c>
      <c r="J38" s="16"/>
      <c r="K38" s="16" t="s">
        <v>4</v>
      </c>
      <c r="L38" s="16" t="s">
        <v>4</v>
      </c>
      <c r="M38" s="16"/>
      <c r="N38" s="20"/>
      <c r="O38" s="16" t="s">
        <v>4</v>
      </c>
      <c r="P38" s="16"/>
      <c r="Q38" s="16" t="s">
        <v>4</v>
      </c>
      <c r="R38" s="16" t="s">
        <v>4</v>
      </c>
      <c r="S38" s="16" t="s">
        <v>4</v>
      </c>
      <c r="T38" s="16" t="s">
        <v>4</v>
      </c>
      <c r="U38" s="16" t="s">
        <v>4</v>
      </c>
      <c r="V38" s="16" t="s">
        <v>4</v>
      </c>
      <c r="W38" s="16" t="s">
        <v>4</v>
      </c>
      <c r="X38" s="16" t="s">
        <v>4</v>
      </c>
      <c r="Y38" s="16" t="s">
        <v>4</v>
      </c>
      <c r="Z38" s="16" t="s">
        <v>4</v>
      </c>
      <c r="AA38" s="16" t="s">
        <v>4</v>
      </c>
      <c r="AB38" s="16" t="s">
        <v>4</v>
      </c>
      <c r="AC38" s="16" t="s">
        <v>4</v>
      </c>
      <c r="AD38" s="16" t="s">
        <v>118</v>
      </c>
      <c r="AE38" s="16"/>
      <c r="AF38" s="16"/>
      <c r="AG38" s="16"/>
      <c r="AH38" s="16"/>
      <c r="AI38" s="16" t="s">
        <v>4</v>
      </c>
      <c r="AJ38" s="16" t="s">
        <v>4</v>
      </c>
      <c r="AK38" s="16"/>
      <c r="AL38" s="16"/>
      <c r="AM38" s="17"/>
      <c r="AN38" s="16" t="s">
        <v>4</v>
      </c>
      <c r="AO38" s="16" t="s">
        <v>4</v>
      </c>
      <c r="AP38" s="17"/>
      <c r="AQ38" s="16"/>
      <c r="AR38" s="17"/>
      <c r="AS38" s="17"/>
      <c r="AT38" s="16" t="s">
        <v>4</v>
      </c>
      <c r="AU38" s="16" t="s">
        <v>4</v>
      </c>
      <c r="AV38" s="16" t="s">
        <v>4</v>
      </c>
      <c r="AW38" s="17"/>
      <c r="AX38" s="16"/>
    </row>
    <row r="39">
      <c r="A39" s="109"/>
      <c r="B39" s="19" t="s">
        <v>28</v>
      </c>
      <c r="C39" s="16" t="s">
        <v>2</v>
      </c>
      <c r="D39" s="16" t="s">
        <v>4</v>
      </c>
      <c r="E39" s="16" t="s">
        <v>4</v>
      </c>
      <c r="F39" s="16" t="s">
        <v>4</v>
      </c>
      <c r="G39" s="20"/>
      <c r="H39" s="16"/>
      <c r="I39" s="16" t="s">
        <v>4</v>
      </c>
      <c r="J39" s="16" t="s">
        <v>4</v>
      </c>
      <c r="K39" s="16"/>
      <c r="L39" s="16" t="s">
        <v>4</v>
      </c>
      <c r="M39" s="16"/>
      <c r="N39" s="16" t="s">
        <v>4</v>
      </c>
      <c r="O39" s="16" t="s">
        <v>4</v>
      </c>
      <c r="P39" s="16" t="s">
        <v>4</v>
      </c>
      <c r="Q39" s="16" t="s">
        <v>4</v>
      </c>
      <c r="R39" s="16" t="s">
        <v>4</v>
      </c>
      <c r="S39" s="16" t="s">
        <v>4</v>
      </c>
      <c r="T39" s="16" t="s">
        <v>4</v>
      </c>
      <c r="U39" s="16" t="s">
        <v>4</v>
      </c>
      <c r="V39" s="16"/>
      <c r="W39" s="16" t="s">
        <v>4</v>
      </c>
      <c r="X39" s="20"/>
      <c r="Y39" s="16" t="s">
        <v>4</v>
      </c>
      <c r="Z39" s="16" t="s">
        <v>4</v>
      </c>
      <c r="AA39" s="16" t="s">
        <v>4</v>
      </c>
      <c r="AB39" s="16" t="s">
        <v>4</v>
      </c>
      <c r="AC39" s="16" t="s">
        <v>4</v>
      </c>
      <c r="AD39" s="16"/>
      <c r="AE39" s="16"/>
      <c r="AF39" s="16"/>
      <c r="AG39" s="16"/>
      <c r="AH39" s="16"/>
      <c r="AI39" s="16" t="s">
        <v>4</v>
      </c>
      <c r="AJ39" s="16" t="s">
        <v>4</v>
      </c>
      <c r="AK39" s="16"/>
      <c r="AL39" s="16"/>
      <c r="AM39" s="17"/>
      <c r="AN39" s="16" t="s">
        <v>4</v>
      </c>
      <c r="AO39" s="16" t="s">
        <v>4</v>
      </c>
      <c r="AP39" s="17"/>
      <c r="AQ39" s="16"/>
      <c r="AR39" s="17"/>
      <c r="AS39" s="17"/>
      <c r="AT39" s="16" t="s">
        <v>4</v>
      </c>
      <c r="AU39" s="16" t="s">
        <v>4</v>
      </c>
      <c r="AV39" s="16" t="s">
        <v>4</v>
      </c>
      <c r="AW39" s="17"/>
      <c r="AX39" s="16"/>
    </row>
    <row r="40">
      <c r="A40" s="109"/>
      <c r="B40" s="19" t="s">
        <v>149</v>
      </c>
      <c r="C40" s="16" t="s">
        <v>2</v>
      </c>
      <c r="D40" s="16" t="s">
        <v>4</v>
      </c>
      <c r="E40" s="16" t="s">
        <v>4</v>
      </c>
      <c r="F40" s="16" t="s">
        <v>4</v>
      </c>
      <c r="G40" s="16" t="s">
        <v>4</v>
      </c>
      <c r="H40" s="16" t="s">
        <v>4</v>
      </c>
      <c r="I40" s="16" t="s">
        <v>4</v>
      </c>
      <c r="J40" s="16" t="s">
        <v>4</v>
      </c>
      <c r="K40" s="16" t="s">
        <v>4</v>
      </c>
      <c r="L40" s="16" t="s">
        <v>4</v>
      </c>
      <c r="M40" s="20"/>
      <c r="N40" s="16" t="s">
        <v>4</v>
      </c>
      <c r="O40" s="16" t="s">
        <v>4</v>
      </c>
      <c r="P40" s="16" t="s">
        <v>4</v>
      </c>
      <c r="Q40" s="20"/>
      <c r="R40" s="16" t="s">
        <v>4</v>
      </c>
      <c r="S40" s="16"/>
      <c r="T40" s="16" t="s">
        <v>4</v>
      </c>
      <c r="U40" s="16" t="s">
        <v>4</v>
      </c>
      <c r="V40" s="16"/>
      <c r="W40" s="16"/>
      <c r="X40" s="16"/>
      <c r="Y40" s="16" t="s">
        <v>4</v>
      </c>
      <c r="Z40" s="16" t="s">
        <v>4</v>
      </c>
      <c r="AA40" s="16"/>
      <c r="AB40" s="16" t="s">
        <v>4</v>
      </c>
      <c r="AC40" s="16"/>
      <c r="AD40" s="16" t="s">
        <v>118</v>
      </c>
      <c r="AE40" s="16"/>
      <c r="AF40" s="16" t="s">
        <v>118</v>
      </c>
      <c r="AG40" s="16"/>
      <c r="AH40" s="16"/>
      <c r="AI40" s="16"/>
      <c r="AJ40" s="16" t="s">
        <v>4</v>
      </c>
      <c r="AK40" s="16"/>
      <c r="AL40" s="16"/>
      <c r="AM40" s="17"/>
      <c r="AN40" s="16" t="s">
        <v>4</v>
      </c>
      <c r="AO40" s="16"/>
      <c r="AP40" s="17"/>
      <c r="AQ40" s="16" t="s">
        <v>4</v>
      </c>
      <c r="AR40" s="17"/>
      <c r="AS40" s="17"/>
      <c r="AT40" s="16" t="s">
        <v>4</v>
      </c>
      <c r="AU40" s="16"/>
      <c r="AV40" s="16" t="s">
        <v>4</v>
      </c>
      <c r="AW40" s="17"/>
      <c r="AX40" s="16"/>
    </row>
    <row r="41" ht="15.0" customHeight="1">
      <c r="A41" s="109"/>
      <c r="B41" s="19" t="s">
        <v>223</v>
      </c>
      <c r="C41" s="16" t="s">
        <v>2</v>
      </c>
      <c r="D41" s="16" t="s">
        <v>4</v>
      </c>
      <c r="E41" s="16" t="s">
        <v>4</v>
      </c>
      <c r="F41" s="20"/>
      <c r="G41" s="16" t="s">
        <v>4</v>
      </c>
      <c r="H41" s="16"/>
      <c r="I41" s="16" t="s">
        <v>4</v>
      </c>
      <c r="J41" s="20"/>
      <c r="K41" s="16"/>
      <c r="L41" s="20"/>
      <c r="M41" s="16"/>
      <c r="N41" s="16" t="s">
        <v>4</v>
      </c>
      <c r="O41" s="16" t="s">
        <v>4</v>
      </c>
      <c r="P41" s="16" t="s">
        <v>4</v>
      </c>
      <c r="Q41" s="20"/>
      <c r="R41" s="16" t="s">
        <v>4</v>
      </c>
      <c r="S41" s="16"/>
      <c r="T41" s="16" t="s">
        <v>4</v>
      </c>
      <c r="U41" s="16" t="s">
        <v>4</v>
      </c>
      <c r="V41" s="16" t="s">
        <v>4</v>
      </c>
      <c r="W41" s="16" t="s">
        <v>4</v>
      </c>
      <c r="X41" s="20"/>
      <c r="Y41" s="16" t="s">
        <v>4</v>
      </c>
      <c r="Z41" s="16" t="s">
        <v>4</v>
      </c>
      <c r="AA41" s="20"/>
      <c r="AB41" s="20"/>
      <c r="AC41" s="16" t="s">
        <v>4</v>
      </c>
      <c r="AD41" s="16"/>
      <c r="AE41" s="16"/>
      <c r="AF41" s="16"/>
      <c r="AG41" s="16"/>
      <c r="AH41" s="16"/>
      <c r="AI41" s="16"/>
      <c r="AJ41" s="16"/>
      <c r="AK41" s="16" t="s">
        <v>4</v>
      </c>
      <c r="AL41" s="16"/>
      <c r="AM41" s="17"/>
      <c r="AN41" s="16" t="s">
        <v>4</v>
      </c>
      <c r="AO41" s="16"/>
      <c r="AP41" s="17"/>
      <c r="AQ41" s="16" t="s">
        <v>4</v>
      </c>
      <c r="AR41" s="17"/>
      <c r="AS41" s="17"/>
      <c r="AT41" s="16" t="s">
        <v>4</v>
      </c>
      <c r="AU41" s="16"/>
      <c r="AV41" s="16"/>
      <c r="AW41" s="17"/>
      <c r="AX41" s="16"/>
    </row>
    <row r="42" ht="15.0" customHeight="1">
      <c r="A42" s="109"/>
      <c r="B42" s="19" t="s">
        <v>151</v>
      </c>
      <c r="C42" s="16" t="s">
        <v>2</v>
      </c>
      <c r="D42" s="20"/>
      <c r="E42" s="16" t="s">
        <v>4</v>
      </c>
      <c r="F42" s="20"/>
      <c r="G42" s="16" t="s">
        <v>4</v>
      </c>
      <c r="H42" s="16" t="s">
        <v>4</v>
      </c>
      <c r="I42" s="20"/>
      <c r="J42" s="20"/>
      <c r="K42" s="16"/>
      <c r="L42" s="20"/>
      <c r="M42" s="16"/>
      <c r="N42" s="20"/>
      <c r="O42" s="16" t="s">
        <v>4</v>
      </c>
      <c r="P42" s="16"/>
      <c r="Q42" s="20"/>
      <c r="R42" s="20"/>
      <c r="S42" s="20"/>
      <c r="T42" s="20"/>
      <c r="U42" s="20"/>
      <c r="V42" s="16" t="s">
        <v>4</v>
      </c>
      <c r="W42" s="16" t="s">
        <v>4</v>
      </c>
      <c r="X42" s="20"/>
      <c r="Y42" s="16" t="s">
        <v>4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16" t="s">
        <v>4</v>
      </c>
      <c r="AL42" s="20"/>
      <c r="AM42" s="42"/>
      <c r="AN42" s="20"/>
      <c r="AO42" s="16" t="s">
        <v>4</v>
      </c>
      <c r="AP42" s="42"/>
      <c r="AQ42" s="16" t="s">
        <v>4</v>
      </c>
      <c r="AR42" s="42"/>
      <c r="AS42" s="42"/>
      <c r="AT42" s="16"/>
      <c r="AU42" s="16" t="s">
        <v>4</v>
      </c>
      <c r="AV42" s="16" t="s">
        <v>4</v>
      </c>
      <c r="AW42" s="42"/>
      <c r="AX42" s="16"/>
    </row>
    <row r="43" ht="15.0" customHeight="1">
      <c r="A43" s="109"/>
      <c r="B43" s="19" t="s">
        <v>152</v>
      </c>
      <c r="C43" s="16" t="s">
        <v>2</v>
      </c>
      <c r="D43" s="20"/>
      <c r="E43" s="16"/>
      <c r="F43" s="20"/>
      <c r="G43" s="16" t="s">
        <v>4</v>
      </c>
      <c r="H43" s="16" t="s">
        <v>4</v>
      </c>
      <c r="I43" s="20"/>
      <c r="J43" s="16" t="s">
        <v>4</v>
      </c>
      <c r="K43" s="16"/>
      <c r="L43" s="20"/>
      <c r="M43" s="16"/>
      <c r="N43" s="20"/>
      <c r="O43" s="16"/>
      <c r="P43" s="16"/>
      <c r="Q43" s="20"/>
      <c r="R43" s="20"/>
      <c r="S43" s="20"/>
      <c r="T43" s="16" t="s">
        <v>4</v>
      </c>
      <c r="U43" s="20"/>
      <c r="V43" s="16"/>
      <c r="W43" s="16" t="s">
        <v>4</v>
      </c>
      <c r="X43" s="20"/>
      <c r="Y43" s="20"/>
      <c r="Z43" s="20"/>
      <c r="AA43" s="20"/>
      <c r="AB43" s="20"/>
      <c r="AC43" s="20"/>
      <c r="AD43" s="20"/>
      <c r="AE43" s="16" t="s">
        <v>118</v>
      </c>
      <c r="AF43" s="20"/>
      <c r="AG43" s="20"/>
      <c r="AH43" s="20"/>
      <c r="AI43" s="20"/>
      <c r="AJ43" s="20"/>
      <c r="AK43" s="20"/>
      <c r="AL43" s="20"/>
      <c r="AM43" s="42"/>
      <c r="AN43" s="20"/>
      <c r="AO43" s="20"/>
      <c r="AP43" s="42"/>
      <c r="AQ43" s="20"/>
      <c r="AR43" s="42"/>
      <c r="AS43" s="42"/>
      <c r="AT43" s="20"/>
      <c r="AU43" s="20"/>
      <c r="AV43" s="20"/>
      <c r="AW43" s="42"/>
      <c r="AX43" s="20"/>
    </row>
    <row r="44" ht="15.0" customHeight="1">
      <c r="A44" s="109"/>
      <c r="B44" s="19" t="s">
        <v>153</v>
      </c>
      <c r="C44" s="16" t="s">
        <v>2</v>
      </c>
      <c r="D44" s="20"/>
      <c r="E44" s="16"/>
      <c r="F44" s="20"/>
      <c r="G44" s="16" t="s">
        <v>4</v>
      </c>
      <c r="H44" s="16"/>
      <c r="I44" s="20"/>
      <c r="J44" s="20"/>
      <c r="K44" s="16"/>
      <c r="L44" s="20"/>
      <c r="M44" s="16"/>
      <c r="N44" s="20"/>
      <c r="O44" s="16"/>
      <c r="P44" s="16"/>
      <c r="Q44" s="20"/>
      <c r="R44" s="20"/>
      <c r="S44" s="20"/>
      <c r="T44" s="20"/>
      <c r="U44" s="20"/>
      <c r="V44" s="16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42"/>
      <c r="AN44" s="20"/>
      <c r="AO44" s="20"/>
      <c r="AP44" s="42"/>
      <c r="AQ44" s="20"/>
      <c r="AR44" s="42"/>
      <c r="AS44" s="42"/>
      <c r="AT44" s="20"/>
      <c r="AU44" s="20"/>
      <c r="AV44" s="20"/>
      <c r="AW44" s="42"/>
      <c r="AX44" s="20"/>
    </row>
    <row r="45" ht="15.0" customHeight="1">
      <c r="A45" s="109"/>
      <c r="B45" s="19" t="s">
        <v>154</v>
      </c>
      <c r="C45" s="16" t="s">
        <v>2</v>
      </c>
      <c r="D45" s="20"/>
      <c r="E45" s="16"/>
      <c r="F45" s="20"/>
      <c r="G45" s="16"/>
      <c r="H45" s="16" t="s">
        <v>4</v>
      </c>
      <c r="I45" s="20"/>
      <c r="J45" s="20"/>
      <c r="K45" s="16"/>
      <c r="L45" s="20"/>
      <c r="M45" s="16"/>
      <c r="N45" s="20"/>
      <c r="O45" s="16"/>
      <c r="P45" s="16"/>
      <c r="Q45" s="20"/>
      <c r="R45" s="20"/>
      <c r="S45" s="20"/>
      <c r="T45" s="20"/>
      <c r="U45" s="20"/>
      <c r="V45" s="16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42"/>
      <c r="AN45" s="20"/>
      <c r="AO45" s="20"/>
      <c r="AP45" s="42"/>
      <c r="AQ45" s="20"/>
      <c r="AR45" s="42"/>
      <c r="AS45" s="42"/>
      <c r="AT45" s="20"/>
      <c r="AU45" s="20"/>
      <c r="AV45" s="20"/>
      <c r="AW45" s="42"/>
      <c r="AX45" s="20"/>
    </row>
    <row r="46" ht="15.0" customHeight="1">
      <c r="A46" s="109"/>
      <c r="B46" s="19" t="s">
        <v>155</v>
      </c>
      <c r="C46" s="16" t="s">
        <v>2</v>
      </c>
      <c r="D46" s="20"/>
      <c r="E46" s="16"/>
      <c r="F46" s="20"/>
      <c r="G46" s="16"/>
      <c r="H46" s="16"/>
      <c r="I46" s="20"/>
      <c r="J46" s="20"/>
      <c r="K46" s="16"/>
      <c r="L46" s="20"/>
      <c r="M46" s="16"/>
      <c r="N46" s="20"/>
      <c r="O46" s="16"/>
      <c r="P46" s="16"/>
      <c r="Q46" s="20"/>
      <c r="R46" s="20"/>
      <c r="S46" s="20"/>
      <c r="T46" s="20"/>
      <c r="U46" s="20"/>
      <c r="V46" s="16"/>
      <c r="W46" s="20"/>
      <c r="X46" s="20"/>
      <c r="Y46" s="20"/>
      <c r="Z46" s="20"/>
      <c r="AA46" s="16" t="s">
        <v>4</v>
      </c>
      <c r="AB46" s="16" t="s">
        <v>4</v>
      </c>
      <c r="AC46" s="16"/>
      <c r="AD46" s="16" t="s">
        <v>118</v>
      </c>
      <c r="AE46" s="16"/>
      <c r="AF46" s="16"/>
      <c r="AG46" s="16"/>
      <c r="AH46" s="16"/>
      <c r="AI46" s="16"/>
      <c r="AJ46" s="16"/>
      <c r="AK46" s="16"/>
      <c r="AL46" s="16"/>
      <c r="AM46" s="17"/>
      <c r="AN46" s="16"/>
      <c r="AO46" s="16"/>
      <c r="AP46" s="17"/>
      <c r="AQ46" s="16"/>
      <c r="AR46" s="17"/>
      <c r="AS46" s="17"/>
      <c r="AT46" s="16"/>
      <c r="AU46" s="16"/>
      <c r="AV46" s="16"/>
      <c r="AW46" s="17"/>
      <c r="AX46" s="16"/>
    </row>
    <row r="47" ht="15.0" customHeight="1">
      <c r="A47" s="109"/>
      <c r="B47" s="19"/>
      <c r="C47" s="16"/>
      <c r="D47" s="20"/>
      <c r="E47" s="16"/>
      <c r="F47" s="20"/>
      <c r="G47" s="16"/>
      <c r="H47" s="16"/>
      <c r="I47" s="20"/>
      <c r="J47" s="20"/>
      <c r="K47" s="16"/>
      <c r="L47" s="20"/>
      <c r="M47" s="16"/>
      <c r="N47" s="20"/>
      <c r="O47" s="16"/>
      <c r="P47" s="16"/>
      <c r="Q47" s="20"/>
      <c r="R47" s="20"/>
      <c r="S47" s="20"/>
      <c r="T47" s="20"/>
      <c r="U47" s="20"/>
      <c r="V47" s="16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42"/>
      <c r="AN47" s="20"/>
      <c r="AO47" s="20"/>
      <c r="AP47" s="42"/>
      <c r="AQ47" s="20"/>
      <c r="AR47" s="42"/>
      <c r="AS47" s="42"/>
      <c r="AT47" s="20"/>
      <c r="AU47" s="20"/>
      <c r="AV47" s="20"/>
      <c r="AW47" s="42"/>
      <c r="AX47" s="20"/>
    </row>
    <row r="48">
      <c r="A48" s="109"/>
      <c r="B48" s="109"/>
      <c r="C48" s="16"/>
      <c r="D48" s="16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42"/>
      <c r="AN48" s="20"/>
      <c r="AO48" s="20"/>
      <c r="AP48" s="42"/>
      <c r="AQ48" s="20"/>
      <c r="AR48" s="42"/>
      <c r="AS48" s="42"/>
      <c r="AT48" s="20"/>
      <c r="AU48" s="20"/>
      <c r="AV48" s="20"/>
      <c r="AW48" s="42"/>
      <c r="AX48" s="20"/>
    </row>
    <row r="49">
      <c r="A49" s="142" t="s">
        <v>30</v>
      </c>
      <c r="B49" s="94" t="s">
        <v>31</v>
      </c>
      <c r="C49" s="16" t="s">
        <v>30</v>
      </c>
      <c r="D49" s="16" t="s">
        <v>4</v>
      </c>
      <c r="E49" s="16" t="s">
        <v>4</v>
      </c>
      <c r="F49" s="20"/>
      <c r="G49" s="16" t="s">
        <v>4</v>
      </c>
      <c r="H49" s="16" t="s">
        <v>4</v>
      </c>
      <c r="I49" s="20"/>
      <c r="J49" s="16" t="s">
        <v>4</v>
      </c>
      <c r="K49" s="16" t="s">
        <v>4</v>
      </c>
      <c r="L49" s="16"/>
      <c r="M49" s="20"/>
      <c r="N49" s="16" t="s">
        <v>4</v>
      </c>
      <c r="O49" s="16" t="s">
        <v>4</v>
      </c>
      <c r="P49" s="16"/>
      <c r="Q49" s="16" t="s">
        <v>4</v>
      </c>
      <c r="R49" s="16"/>
      <c r="S49" s="16" t="s">
        <v>4</v>
      </c>
      <c r="T49" s="16" t="s">
        <v>4</v>
      </c>
      <c r="U49" s="16"/>
      <c r="V49" s="16" t="s">
        <v>4</v>
      </c>
      <c r="W49" s="16" t="s">
        <v>4</v>
      </c>
      <c r="X49" s="16"/>
      <c r="Y49" s="16" t="s">
        <v>4</v>
      </c>
      <c r="Z49" s="16" t="s">
        <v>4</v>
      </c>
      <c r="AA49" s="16" t="s">
        <v>4</v>
      </c>
      <c r="AB49" s="16" t="s">
        <v>4</v>
      </c>
      <c r="AC49" s="16"/>
      <c r="AD49" s="16"/>
      <c r="AE49" s="16"/>
      <c r="AF49" s="16"/>
      <c r="AG49" s="16"/>
      <c r="AH49" s="16" t="s">
        <v>4</v>
      </c>
      <c r="AI49" s="16" t="s">
        <v>4</v>
      </c>
      <c r="AJ49" s="16" t="s">
        <v>4</v>
      </c>
      <c r="AK49" s="16" t="s">
        <v>4</v>
      </c>
      <c r="AL49" s="16"/>
      <c r="AM49" s="17"/>
      <c r="AN49" s="16" t="s">
        <v>4</v>
      </c>
      <c r="AO49" s="16" t="s">
        <v>4</v>
      </c>
      <c r="AP49" s="17"/>
      <c r="AQ49" s="16" t="s">
        <v>4</v>
      </c>
      <c r="AR49" s="17"/>
      <c r="AS49" s="17"/>
      <c r="AT49" s="16" t="s">
        <v>4</v>
      </c>
      <c r="AU49" s="16" t="s">
        <v>4</v>
      </c>
      <c r="AV49" s="16" t="s">
        <v>4</v>
      </c>
      <c r="AW49" s="17"/>
      <c r="AX49" s="16" t="s">
        <v>4</v>
      </c>
    </row>
    <row r="50">
      <c r="B50" s="16" t="s">
        <v>52</v>
      </c>
      <c r="C50" s="16" t="s">
        <v>30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16" t="s">
        <v>4</v>
      </c>
      <c r="T50" s="20"/>
      <c r="U50" s="20"/>
      <c r="V50" s="20"/>
      <c r="W50" s="20"/>
      <c r="X50" s="20"/>
      <c r="Y50" s="16" t="s">
        <v>4</v>
      </c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42"/>
      <c r="AN50" s="20"/>
      <c r="AO50" s="20"/>
      <c r="AP50" s="42"/>
      <c r="AQ50" s="20"/>
      <c r="AR50" s="42"/>
      <c r="AS50" s="42"/>
      <c r="AT50" s="20"/>
      <c r="AU50" s="20"/>
      <c r="AV50" s="20"/>
      <c r="AW50" s="42"/>
      <c r="AX50" s="20"/>
    </row>
    <row r="51">
      <c r="B51" s="16" t="s">
        <v>32</v>
      </c>
      <c r="C51" s="16" t="s">
        <v>30</v>
      </c>
      <c r="D51" s="16" t="s">
        <v>4</v>
      </c>
      <c r="E51" s="20"/>
      <c r="F51" s="20"/>
      <c r="G51" s="20"/>
      <c r="H51" s="16" t="s">
        <v>4</v>
      </c>
      <c r="I51" s="20"/>
      <c r="J51" s="20"/>
      <c r="K51" s="20"/>
      <c r="L51" s="20"/>
      <c r="M51" s="16" t="s">
        <v>4</v>
      </c>
      <c r="N51" s="16" t="s">
        <v>4</v>
      </c>
      <c r="O51" s="20"/>
      <c r="P51" s="16" t="s">
        <v>4</v>
      </c>
      <c r="Q51" s="20"/>
      <c r="R51" s="16" t="s">
        <v>4</v>
      </c>
      <c r="S51" s="16" t="s">
        <v>4</v>
      </c>
      <c r="T51" s="20"/>
      <c r="U51" s="20"/>
      <c r="V51" s="16" t="s">
        <v>4</v>
      </c>
      <c r="W51" s="16" t="s">
        <v>4</v>
      </c>
      <c r="X51" s="20"/>
      <c r="Y51" s="16" t="s">
        <v>4</v>
      </c>
      <c r="Z51" s="20"/>
      <c r="AA51" s="20"/>
      <c r="AB51" s="16" t="s">
        <v>4</v>
      </c>
      <c r="AC51" s="16" t="s">
        <v>4</v>
      </c>
      <c r="AD51" s="16"/>
      <c r="AE51" s="16" t="s">
        <v>118</v>
      </c>
      <c r="AF51" s="16"/>
      <c r="AG51" s="16"/>
      <c r="AH51" s="16" t="s">
        <v>4</v>
      </c>
      <c r="AI51" s="16" t="s">
        <v>4</v>
      </c>
      <c r="AJ51" s="16"/>
      <c r="AK51" s="16"/>
      <c r="AL51" s="16"/>
      <c r="AM51" s="17"/>
      <c r="AN51" s="16" t="s">
        <v>4</v>
      </c>
      <c r="AO51" s="16" t="s">
        <v>4</v>
      </c>
      <c r="AP51" s="17"/>
      <c r="AQ51" s="16"/>
      <c r="AR51" s="17"/>
      <c r="AS51" s="17"/>
      <c r="AT51" s="16" t="s">
        <v>4</v>
      </c>
      <c r="AU51" s="16"/>
      <c r="AV51" s="16" t="s">
        <v>4</v>
      </c>
      <c r="AW51" s="17"/>
      <c r="AX51" s="16"/>
    </row>
    <row r="52">
      <c r="A52" s="142"/>
      <c r="B52" s="16" t="s">
        <v>33</v>
      </c>
      <c r="C52" s="16" t="s">
        <v>30</v>
      </c>
      <c r="D52" s="16"/>
      <c r="E52" s="16" t="s">
        <v>4</v>
      </c>
      <c r="F52" s="20"/>
      <c r="G52" s="16" t="s">
        <v>4</v>
      </c>
      <c r="H52" s="20"/>
      <c r="I52" s="16" t="s">
        <v>4</v>
      </c>
      <c r="J52" s="16" t="s">
        <v>4</v>
      </c>
      <c r="K52" s="20"/>
      <c r="L52" s="20"/>
      <c r="M52" s="16" t="s">
        <v>4</v>
      </c>
      <c r="N52" s="20"/>
      <c r="O52" s="20"/>
      <c r="P52" s="20"/>
      <c r="Q52" s="16" t="s">
        <v>4</v>
      </c>
      <c r="R52" s="16" t="s">
        <v>4</v>
      </c>
      <c r="S52" s="16" t="s">
        <v>4</v>
      </c>
      <c r="T52" s="20"/>
      <c r="U52" s="16" t="s">
        <v>4</v>
      </c>
      <c r="V52" s="20"/>
      <c r="W52" s="16"/>
      <c r="X52" s="20"/>
      <c r="Y52" s="16" t="s">
        <v>4</v>
      </c>
      <c r="Z52" s="16" t="s">
        <v>4</v>
      </c>
      <c r="AA52" s="16" t="s">
        <v>4</v>
      </c>
      <c r="AB52" s="16" t="s">
        <v>4</v>
      </c>
      <c r="AC52" s="16"/>
      <c r="AD52" s="16"/>
      <c r="AE52" s="16"/>
      <c r="AF52" s="16" t="s">
        <v>118</v>
      </c>
      <c r="AG52" s="16"/>
      <c r="AH52" s="16"/>
      <c r="AI52" s="16"/>
      <c r="AJ52" s="16" t="s">
        <v>4</v>
      </c>
      <c r="AK52" s="16" t="s">
        <v>4</v>
      </c>
      <c r="AL52" s="16"/>
      <c r="AM52" s="17"/>
      <c r="AN52" s="16" t="s">
        <v>4</v>
      </c>
      <c r="AO52" s="16" t="s">
        <v>4</v>
      </c>
      <c r="AP52" s="17"/>
      <c r="AQ52" s="16" t="s">
        <v>4</v>
      </c>
      <c r="AR52" s="17"/>
      <c r="AS52" s="17"/>
      <c r="AT52" s="16" t="s">
        <v>4</v>
      </c>
      <c r="AU52" s="16" t="s">
        <v>4</v>
      </c>
      <c r="AV52" s="16" t="s">
        <v>4</v>
      </c>
      <c r="AW52" s="17"/>
      <c r="AX52" s="16" t="s">
        <v>4</v>
      </c>
    </row>
    <row r="53">
      <c r="A53" s="142"/>
      <c r="B53" s="16" t="s">
        <v>34</v>
      </c>
      <c r="C53" s="16" t="s">
        <v>30</v>
      </c>
      <c r="D53" s="16"/>
      <c r="E53" s="16" t="s">
        <v>4</v>
      </c>
      <c r="F53" s="16" t="s">
        <v>4</v>
      </c>
      <c r="G53" s="16" t="s">
        <v>4</v>
      </c>
      <c r="H53" s="16" t="s">
        <v>4</v>
      </c>
      <c r="I53" s="16" t="s">
        <v>4</v>
      </c>
      <c r="J53" s="20"/>
      <c r="K53" s="20"/>
      <c r="L53" s="20"/>
      <c r="M53" s="16" t="s">
        <v>4</v>
      </c>
      <c r="N53" s="20"/>
      <c r="O53" s="16" t="s">
        <v>4</v>
      </c>
      <c r="P53" s="20"/>
      <c r="Q53" s="20"/>
      <c r="R53" s="16" t="s">
        <v>4</v>
      </c>
      <c r="S53" s="16" t="s">
        <v>4</v>
      </c>
      <c r="T53" s="20"/>
      <c r="U53" s="16" t="s">
        <v>4</v>
      </c>
      <c r="V53" s="20"/>
      <c r="W53" s="16" t="s">
        <v>4</v>
      </c>
      <c r="X53" s="20"/>
      <c r="Y53" s="16" t="s">
        <v>4</v>
      </c>
      <c r="Z53" s="16" t="s">
        <v>4</v>
      </c>
      <c r="AA53" s="16" t="s">
        <v>4</v>
      </c>
      <c r="AB53" s="16" t="s">
        <v>4</v>
      </c>
      <c r="AC53" s="16"/>
      <c r="AD53" s="16"/>
      <c r="AE53" s="16"/>
      <c r="AF53" s="16" t="s">
        <v>118</v>
      </c>
      <c r="AG53" s="16"/>
      <c r="AH53" s="16"/>
      <c r="AI53" s="16"/>
      <c r="AJ53" s="16" t="s">
        <v>4</v>
      </c>
      <c r="AK53" s="16" t="s">
        <v>4</v>
      </c>
      <c r="AL53" s="16"/>
      <c r="AM53" s="17"/>
      <c r="AN53" s="16" t="s">
        <v>4</v>
      </c>
      <c r="AO53" s="16" t="s">
        <v>4</v>
      </c>
      <c r="AP53" s="17"/>
      <c r="AQ53" s="16" t="s">
        <v>4</v>
      </c>
      <c r="AR53" s="17"/>
      <c r="AS53" s="17"/>
      <c r="AT53" s="16" t="s">
        <v>4</v>
      </c>
      <c r="AU53" s="16" t="s">
        <v>4</v>
      </c>
      <c r="AV53" s="16" t="s">
        <v>4</v>
      </c>
      <c r="AW53" s="17"/>
      <c r="AX53" s="16" t="s">
        <v>4</v>
      </c>
    </row>
    <row r="54">
      <c r="A54" s="142"/>
      <c r="B54" s="16" t="s">
        <v>35</v>
      </c>
      <c r="C54" s="16" t="s">
        <v>30</v>
      </c>
      <c r="D54" s="16"/>
      <c r="E54" s="16"/>
      <c r="F54" s="16"/>
      <c r="G54" s="16"/>
      <c r="H54" s="16"/>
      <c r="I54" s="16" t="s">
        <v>4</v>
      </c>
      <c r="J54" s="16" t="s">
        <v>4</v>
      </c>
      <c r="K54" s="16" t="s">
        <v>4</v>
      </c>
      <c r="L54" s="20"/>
      <c r="M54" s="16" t="s">
        <v>4</v>
      </c>
      <c r="N54" s="20"/>
      <c r="O54" s="16" t="s">
        <v>4</v>
      </c>
      <c r="P54" s="16" t="s">
        <v>4</v>
      </c>
      <c r="Q54" s="16" t="s">
        <v>4</v>
      </c>
      <c r="R54" s="16" t="s">
        <v>4</v>
      </c>
      <c r="S54" s="16" t="s">
        <v>4</v>
      </c>
      <c r="T54" s="20"/>
      <c r="U54" s="16" t="s">
        <v>4</v>
      </c>
      <c r="V54" s="16" t="s">
        <v>4</v>
      </c>
      <c r="W54" s="16"/>
      <c r="X54" s="20"/>
      <c r="Y54" s="16" t="s">
        <v>4</v>
      </c>
      <c r="Z54" s="20"/>
      <c r="AA54" s="16" t="s">
        <v>4</v>
      </c>
      <c r="AB54" s="16"/>
      <c r="AC54" s="16"/>
      <c r="AD54" s="16"/>
      <c r="AE54" s="16" t="s">
        <v>118</v>
      </c>
      <c r="AF54" s="16" t="s">
        <v>118</v>
      </c>
      <c r="AG54" s="16"/>
      <c r="AH54" s="16" t="s">
        <v>4</v>
      </c>
      <c r="AI54" s="16"/>
      <c r="AJ54" s="16" t="s">
        <v>4</v>
      </c>
      <c r="AK54" s="16" t="s">
        <v>4</v>
      </c>
      <c r="AL54" s="16"/>
      <c r="AM54" s="17"/>
      <c r="AN54" s="16" t="s">
        <v>4</v>
      </c>
      <c r="AO54" s="16"/>
      <c r="AP54" s="17"/>
      <c r="AQ54" s="16"/>
      <c r="AR54" s="17"/>
      <c r="AS54" s="17"/>
      <c r="AT54" s="16" t="s">
        <v>4</v>
      </c>
      <c r="AU54" s="16"/>
      <c r="AV54" s="16" t="s">
        <v>4</v>
      </c>
      <c r="AW54" s="17"/>
      <c r="AX54" s="16" t="s">
        <v>4</v>
      </c>
    </row>
    <row r="55">
      <c r="A55" s="142"/>
      <c r="B55" s="16" t="s">
        <v>36</v>
      </c>
      <c r="C55" s="16" t="s">
        <v>30</v>
      </c>
      <c r="D55" s="16"/>
      <c r="E55" s="16"/>
      <c r="F55" s="16"/>
      <c r="G55" s="16"/>
      <c r="H55" s="16"/>
      <c r="I55" s="16" t="s">
        <v>4</v>
      </c>
      <c r="J55" s="16" t="s">
        <v>4</v>
      </c>
      <c r="K55" s="16" t="s">
        <v>4</v>
      </c>
      <c r="L55" s="20"/>
      <c r="M55" s="16" t="s">
        <v>4</v>
      </c>
      <c r="N55" s="20"/>
      <c r="O55" s="16" t="s">
        <v>4</v>
      </c>
      <c r="P55" s="20"/>
      <c r="Q55" s="16" t="s">
        <v>4</v>
      </c>
      <c r="R55" s="16" t="s">
        <v>4</v>
      </c>
      <c r="S55" s="16" t="s">
        <v>4</v>
      </c>
      <c r="T55" s="20"/>
      <c r="U55" s="16" t="s">
        <v>4</v>
      </c>
      <c r="V55" s="16" t="s">
        <v>4</v>
      </c>
      <c r="W55" s="16"/>
      <c r="X55" s="20"/>
      <c r="Y55" s="16" t="s">
        <v>4</v>
      </c>
      <c r="Z55" s="20"/>
      <c r="AA55" s="20"/>
      <c r="AB55" s="20"/>
      <c r="AC55" s="20"/>
      <c r="AD55" s="20"/>
      <c r="AE55" s="16" t="s">
        <v>118</v>
      </c>
      <c r="AF55" s="16" t="s">
        <v>118</v>
      </c>
      <c r="AG55" s="16"/>
      <c r="AH55" s="16" t="s">
        <v>4</v>
      </c>
      <c r="AI55" s="16" t="s">
        <v>4</v>
      </c>
      <c r="AJ55" s="16" t="s">
        <v>4</v>
      </c>
      <c r="AK55" s="16"/>
      <c r="AL55" s="16"/>
      <c r="AM55" s="17"/>
      <c r="AN55" s="16" t="s">
        <v>4</v>
      </c>
      <c r="AO55" s="16" t="s">
        <v>4</v>
      </c>
      <c r="AP55" s="17"/>
      <c r="AQ55" s="16"/>
      <c r="AR55" s="17"/>
      <c r="AS55" s="17"/>
      <c r="AT55" s="16" t="s">
        <v>4</v>
      </c>
      <c r="AU55" s="16"/>
      <c r="AV55" s="16" t="s">
        <v>4</v>
      </c>
      <c r="AW55" s="17"/>
      <c r="AX55" s="16" t="s">
        <v>4</v>
      </c>
    </row>
    <row r="56">
      <c r="A56" s="142"/>
      <c r="B56" s="16" t="s">
        <v>37</v>
      </c>
      <c r="C56" s="16" t="s">
        <v>30</v>
      </c>
      <c r="D56" s="16"/>
      <c r="E56" s="16"/>
      <c r="F56" s="16"/>
      <c r="G56" s="16"/>
      <c r="H56" s="16"/>
      <c r="I56" s="16"/>
      <c r="J56" s="16"/>
      <c r="K56" s="16"/>
      <c r="L56" s="20"/>
      <c r="M56" s="16"/>
      <c r="N56" s="20"/>
      <c r="O56" s="16"/>
      <c r="P56" s="20"/>
      <c r="Q56" s="16"/>
      <c r="R56" s="16"/>
      <c r="S56" s="16"/>
      <c r="T56" s="20"/>
      <c r="U56" s="16"/>
      <c r="V56" s="16"/>
      <c r="W56" s="16"/>
      <c r="X56" s="20"/>
      <c r="Y56" s="16"/>
      <c r="Z56" s="20"/>
      <c r="AA56" s="20"/>
      <c r="AB56" s="20"/>
      <c r="AC56" s="20"/>
      <c r="AD56" s="20"/>
      <c r="AE56" s="20"/>
      <c r="AF56" s="16" t="s">
        <v>118</v>
      </c>
      <c r="AG56" s="16"/>
      <c r="AH56" s="16"/>
      <c r="AI56" s="16" t="s">
        <v>4</v>
      </c>
      <c r="AJ56" s="16" t="s">
        <v>4</v>
      </c>
      <c r="AK56" s="16" t="s">
        <v>4</v>
      </c>
      <c r="AL56" s="16"/>
      <c r="AM56" s="17"/>
      <c r="AN56" s="16" t="s">
        <v>4</v>
      </c>
      <c r="AO56" s="16"/>
      <c r="AP56" s="17"/>
      <c r="AQ56" s="16"/>
      <c r="AR56" s="17"/>
      <c r="AS56" s="17"/>
      <c r="AT56" s="16" t="s">
        <v>4</v>
      </c>
      <c r="AU56" s="16" t="s">
        <v>4</v>
      </c>
      <c r="AV56" s="16" t="s">
        <v>4</v>
      </c>
      <c r="AW56" s="17"/>
      <c r="AX56" s="16" t="s">
        <v>4</v>
      </c>
    </row>
    <row r="57">
      <c r="A57" s="95"/>
      <c r="B57" s="16" t="s">
        <v>41</v>
      </c>
      <c r="C57" s="16" t="s">
        <v>30</v>
      </c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16" t="s">
        <v>4</v>
      </c>
      <c r="AK57" s="16" t="s">
        <v>4</v>
      </c>
      <c r="AL57" s="20"/>
      <c r="AM57" s="42"/>
      <c r="AN57" s="16" t="s">
        <v>4</v>
      </c>
      <c r="AO57" s="16" t="s">
        <v>4</v>
      </c>
      <c r="AP57" s="42"/>
      <c r="AQ57" s="16"/>
      <c r="AR57" s="42"/>
      <c r="AS57" s="42"/>
      <c r="AT57" s="16" t="s">
        <v>4</v>
      </c>
      <c r="AU57" s="16" t="s">
        <v>4</v>
      </c>
      <c r="AV57" s="16" t="s">
        <v>4</v>
      </c>
      <c r="AW57" s="42"/>
      <c r="AX57" s="16" t="s">
        <v>4</v>
      </c>
    </row>
    <row r="58">
      <c r="A58" s="95"/>
      <c r="B58" s="95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42"/>
      <c r="AN58" s="20"/>
      <c r="AO58" s="20"/>
      <c r="AP58" s="42"/>
      <c r="AQ58" s="20"/>
      <c r="AR58" s="42"/>
      <c r="AS58" s="42"/>
      <c r="AT58" s="20"/>
      <c r="AU58" s="20"/>
      <c r="AV58" s="20"/>
      <c r="AW58" s="42"/>
      <c r="AX58" s="20"/>
    </row>
    <row r="59">
      <c r="A59" s="97"/>
      <c r="B59" s="19" t="s">
        <v>159</v>
      </c>
      <c r="C59" s="16" t="s">
        <v>58</v>
      </c>
      <c r="D59" s="16"/>
      <c r="E59" s="20"/>
      <c r="F59" s="16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42"/>
      <c r="AN59" s="20"/>
      <c r="AO59" s="20"/>
      <c r="AP59" s="42"/>
      <c r="AQ59" s="20"/>
      <c r="AR59" s="42"/>
      <c r="AS59" s="42"/>
      <c r="AT59" s="20"/>
      <c r="AU59" s="20"/>
      <c r="AV59" s="20"/>
      <c r="AW59" s="42"/>
      <c r="AX59" s="20"/>
    </row>
    <row r="60">
      <c r="A60" s="97"/>
      <c r="B60" s="19" t="s">
        <v>162</v>
      </c>
      <c r="C60" s="16" t="s">
        <v>58</v>
      </c>
      <c r="D60" s="16"/>
      <c r="E60" s="20"/>
      <c r="F60" s="16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16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42"/>
      <c r="AN60" s="20"/>
      <c r="AO60" s="20"/>
      <c r="AP60" s="42"/>
      <c r="AQ60" s="20"/>
      <c r="AR60" s="42"/>
      <c r="AS60" s="42"/>
      <c r="AT60" s="20"/>
      <c r="AU60" s="20"/>
      <c r="AV60" s="20"/>
      <c r="AW60" s="42"/>
      <c r="AX60" s="20"/>
    </row>
    <row r="61">
      <c r="A61" s="143" t="s">
        <v>58</v>
      </c>
      <c r="B61" s="19" t="s">
        <v>163</v>
      </c>
      <c r="C61" s="16" t="s">
        <v>58</v>
      </c>
      <c r="D61" s="20"/>
      <c r="E61" s="20"/>
      <c r="F61" s="20"/>
      <c r="G61" s="16"/>
      <c r="H61" s="20"/>
      <c r="I61" s="16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42"/>
      <c r="AN61" s="20"/>
      <c r="AO61" s="20"/>
      <c r="AP61" s="42"/>
      <c r="AQ61" s="20"/>
      <c r="AR61" s="42"/>
      <c r="AS61" s="42"/>
      <c r="AT61" s="20"/>
      <c r="AU61" s="20"/>
      <c r="AV61" s="20"/>
      <c r="AW61" s="42"/>
      <c r="AX61" s="20"/>
    </row>
    <row r="62">
      <c r="A62" s="144" t="s">
        <v>224</v>
      </c>
      <c r="B62" s="19" t="s">
        <v>54</v>
      </c>
      <c r="C62" s="16" t="s">
        <v>58</v>
      </c>
      <c r="D62" s="16" t="s">
        <v>4</v>
      </c>
      <c r="E62" s="16" t="s">
        <v>4</v>
      </c>
      <c r="F62" s="16" t="s">
        <v>4</v>
      </c>
      <c r="G62" s="16" t="s">
        <v>4</v>
      </c>
      <c r="H62" s="16" t="s">
        <v>4</v>
      </c>
      <c r="I62" s="16" t="s">
        <v>4</v>
      </c>
      <c r="J62" s="16" t="s">
        <v>4</v>
      </c>
      <c r="K62" s="16"/>
      <c r="L62" s="16" t="s">
        <v>4</v>
      </c>
      <c r="M62" s="16" t="s">
        <v>4</v>
      </c>
      <c r="N62" s="16" t="s">
        <v>4</v>
      </c>
      <c r="O62" s="20"/>
      <c r="P62" s="16" t="s">
        <v>4</v>
      </c>
      <c r="Q62" s="20"/>
      <c r="R62" s="16" t="s">
        <v>4</v>
      </c>
      <c r="S62" s="16" t="s">
        <v>4</v>
      </c>
      <c r="T62" s="20"/>
      <c r="U62" s="16" t="s">
        <v>4</v>
      </c>
      <c r="V62" s="16"/>
      <c r="W62" s="16" t="s">
        <v>4</v>
      </c>
      <c r="X62" s="16"/>
      <c r="Y62" s="16" t="s">
        <v>4</v>
      </c>
      <c r="Z62" s="16" t="s">
        <v>4</v>
      </c>
      <c r="AA62" s="20"/>
      <c r="AB62" s="20"/>
      <c r="AC62" s="20"/>
      <c r="AD62" s="20"/>
      <c r="AE62" s="20"/>
      <c r="AF62" s="20"/>
      <c r="AG62" s="20"/>
      <c r="AH62" s="16" t="s">
        <v>4</v>
      </c>
      <c r="AI62" s="20"/>
      <c r="AJ62" s="20"/>
      <c r="AK62" s="20"/>
      <c r="AL62" s="20"/>
      <c r="AM62" s="42"/>
      <c r="AN62" s="20"/>
      <c r="AO62" s="20"/>
      <c r="AP62" s="42"/>
      <c r="AQ62" s="16" t="s">
        <v>4</v>
      </c>
      <c r="AR62" s="42"/>
      <c r="AS62" s="42"/>
      <c r="AT62" s="16" t="s">
        <v>4</v>
      </c>
      <c r="AU62" s="16"/>
      <c r="AV62" s="16" t="s">
        <v>4</v>
      </c>
      <c r="AW62" s="42"/>
      <c r="AX62" s="16"/>
    </row>
    <row r="63">
      <c r="A63" s="144" t="s">
        <v>53</v>
      </c>
      <c r="B63" s="19" t="s">
        <v>55</v>
      </c>
      <c r="C63" s="16" t="s">
        <v>58</v>
      </c>
      <c r="D63" s="16" t="s">
        <v>4</v>
      </c>
      <c r="E63" s="16" t="s">
        <v>4</v>
      </c>
      <c r="F63" s="16" t="s">
        <v>4</v>
      </c>
      <c r="G63" s="20"/>
      <c r="H63" s="16" t="s">
        <v>4</v>
      </c>
      <c r="I63" s="16" t="s">
        <v>4</v>
      </c>
      <c r="J63" s="16"/>
      <c r="K63" s="16" t="s">
        <v>4</v>
      </c>
      <c r="L63" s="16" t="s">
        <v>4</v>
      </c>
      <c r="M63" s="16" t="s">
        <v>4</v>
      </c>
      <c r="N63" s="16" t="s">
        <v>4</v>
      </c>
      <c r="O63" s="20"/>
      <c r="P63" s="16"/>
      <c r="Q63" s="20"/>
      <c r="R63" s="16" t="s">
        <v>4</v>
      </c>
      <c r="S63" s="16" t="s">
        <v>4</v>
      </c>
      <c r="T63" s="16" t="s">
        <v>4</v>
      </c>
      <c r="U63" s="16" t="s">
        <v>4</v>
      </c>
      <c r="V63" s="16" t="s">
        <v>4</v>
      </c>
      <c r="W63" s="16" t="s">
        <v>4</v>
      </c>
      <c r="X63" s="16"/>
      <c r="Y63" s="16" t="s">
        <v>4</v>
      </c>
      <c r="Z63" s="20"/>
      <c r="AA63" s="16" t="s">
        <v>4</v>
      </c>
      <c r="AB63" s="16" t="s">
        <v>4</v>
      </c>
      <c r="AC63" s="16"/>
      <c r="AD63" s="16"/>
      <c r="AE63" s="16"/>
      <c r="AF63" s="16"/>
      <c r="AG63" s="16"/>
      <c r="AH63" s="16"/>
      <c r="AI63" s="16"/>
      <c r="AJ63" s="16" t="s">
        <v>4</v>
      </c>
      <c r="AK63" s="16"/>
      <c r="AL63" s="16"/>
      <c r="AM63" s="17"/>
      <c r="AN63" s="16"/>
      <c r="AO63" s="16" t="s">
        <v>4</v>
      </c>
      <c r="AP63" s="17"/>
      <c r="AQ63" s="16"/>
      <c r="AR63" s="17"/>
      <c r="AS63" s="17"/>
      <c r="AT63" s="16"/>
      <c r="AU63" s="16"/>
      <c r="AV63" s="16" t="s">
        <v>4</v>
      </c>
      <c r="AW63" s="17"/>
      <c r="AX63" s="16"/>
    </row>
    <row r="64">
      <c r="A64" s="144"/>
      <c r="B64" s="19" t="s">
        <v>164</v>
      </c>
      <c r="C64" s="16" t="s">
        <v>58</v>
      </c>
      <c r="D64" s="20"/>
      <c r="E64" s="20"/>
      <c r="F64" s="16" t="s">
        <v>4</v>
      </c>
      <c r="G64" s="20"/>
      <c r="H64" s="20"/>
      <c r="I64" s="20"/>
      <c r="J64" s="16"/>
      <c r="K64" s="16"/>
      <c r="L64" s="20"/>
      <c r="M64" s="20"/>
      <c r="N64" s="20"/>
      <c r="O64" s="20"/>
      <c r="P64" s="16"/>
      <c r="Q64" s="20"/>
      <c r="R64" s="20"/>
      <c r="S64" s="16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42"/>
      <c r="AN64" s="20"/>
      <c r="AO64" s="20"/>
      <c r="AP64" s="42"/>
      <c r="AQ64" s="20"/>
      <c r="AR64" s="42"/>
      <c r="AS64" s="42"/>
      <c r="AT64" s="20"/>
      <c r="AU64" s="20"/>
      <c r="AV64" s="20"/>
      <c r="AW64" s="42"/>
      <c r="AX64" s="20"/>
    </row>
    <row r="65">
      <c r="A65" s="144"/>
      <c r="B65" s="19" t="s">
        <v>112</v>
      </c>
      <c r="C65" s="16" t="s">
        <v>58</v>
      </c>
      <c r="D65" s="20"/>
      <c r="E65" s="20"/>
      <c r="F65" s="20"/>
      <c r="G65" s="20"/>
      <c r="H65" s="20"/>
      <c r="I65" s="20"/>
      <c r="J65" s="16"/>
      <c r="K65" s="16"/>
      <c r="L65" s="20"/>
      <c r="M65" s="20"/>
      <c r="N65" s="20"/>
      <c r="O65" s="20"/>
      <c r="P65" s="16"/>
      <c r="Q65" s="20"/>
      <c r="R65" s="20"/>
      <c r="S65" s="16"/>
      <c r="T65" s="20"/>
      <c r="U65" s="20"/>
      <c r="V65" s="16"/>
      <c r="W65" s="16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42"/>
      <c r="AN65" s="20"/>
      <c r="AO65" s="20"/>
      <c r="AP65" s="42"/>
      <c r="AQ65" s="20"/>
      <c r="AR65" s="42"/>
      <c r="AS65" s="42"/>
      <c r="AT65" s="20"/>
      <c r="AU65" s="20"/>
      <c r="AV65" s="20"/>
      <c r="AW65" s="42"/>
      <c r="AX65" s="20"/>
    </row>
    <row r="66">
      <c r="A66" s="144"/>
      <c r="B66" s="19" t="s">
        <v>165</v>
      </c>
      <c r="C66" s="16" t="s">
        <v>58</v>
      </c>
      <c r="D66" s="20"/>
      <c r="E66" s="20"/>
      <c r="F66" s="20"/>
      <c r="G66" s="20"/>
      <c r="H66" s="20"/>
      <c r="I66" s="16">
        <v>1.0</v>
      </c>
      <c r="J66" s="16"/>
      <c r="K66" s="16"/>
      <c r="L66" s="20"/>
      <c r="M66" s="20"/>
      <c r="N66" s="20"/>
      <c r="O66" s="20"/>
      <c r="P66" s="16"/>
      <c r="Q66" s="20"/>
      <c r="R66" s="20"/>
      <c r="S66" s="16"/>
      <c r="T66" s="20"/>
      <c r="U66" s="20"/>
      <c r="V66" s="16"/>
      <c r="W66" s="16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42"/>
      <c r="AN66" s="20"/>
      <c r="AO66" s="20"/>
      <c r="AP66" s="42"/>
      <c r="AQ66" s="20"/>
      <c r="AR66" s="42"/>
      <c r="AS66" s="42"/>
      <c r="AT66" s="20"/>
      <c r="AU66" s="20"/>
      <c r="AV66" s="20"/>
      <c r="AW66" s="42"/>
      <c r="AX66" s="20"/>
    </row>
    <row r="67">
      <c r="A67" s="144"/>
      <c r="B67" s="19" t="s">
        <v>166</v>
      </c>
      <c r="C67" s="16" t="s">
        <v>58</v>
      </c>
      <c r="D67" s="20"/>
      <c r="E67" s="20"/>
      <c r="F67" s="20"/>
      <c r="G67" s="20"/>
      <c r="H67" s="20"/>
      <c r="I67" s="16">
        <v>1.0</v>
      </c>
      <c r="J67" s="16"/>
      <c r="K67" s="16"/>
      <c r="L67" s="20"/>
      <c r="M67" s="20"/>
      <c r="N67" s="20"/>
      <c r="O67" s="20"/>
      <c r="P67" s="16"/>
      <c r="Q67" s="20"/>
      <c r="R67" s="20"/>
      <c r="S67" s="16"/>
      <c r="T67" s="20"/>
      <c r="U67" s="20"/>
      <c r="V67" s="16"/>
      <c r="W67" s="16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42"/>
      <c r="AN67" s="20"/>
      <c r="AO67" s="20"/>
      <c r="AP67" s="42"/>
      <c r="AQ67" s="20"/>
      <c r="AR67" s="42"/>
      <c r="AS67" s="42"/>
      <c r="AT67" s="20"/>
      <c r="AU67" s="20"/>
      <c r="AV67" s="20"/>
      <c r="AW67" s="42"/>
      <c r="AX67" s="20"/>
    </row>
    <row r="68">
      <c r="A68" s="144"/>
      <c r="B68" s="19" t="s">
        <v>167</v>
      </c>
      <c r="C68" s="16" t="s">
        <v>58</v>
      </c>
      <c r="D68" s="20"/>
      <c r="E68" s="20"/>
      <c r="F68" s="20"/>
      <c r="G68" s="20"/>
      <c r="H68" s="20"/>
      <c r="I68" s="16"/>
      <c r="J68" s="16">
        <v>1.0</v>
      </c>
      <c r="K68" s="16" t="s">
        <v>4</v>
      </c>
      <c r="L68" s="20"/>
      <c r="M68" s="20"/>
      <c r="N68" s="20"/>
      <c r="O68" s="20"/>
      <c r="P68" s="16"/>
      <c r="Q68" s="20"/>
      <c r="R68" s="20"/>
      <c r="S68" s="16"/>
      <c r="T68" s="20"/>
      <c r="U68" s="20"/>
      <c r="V68" s="16"/>
      <c r="W68" s="16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42"/>
      <c r="AN68" s="20"/>
      <c r="AO68" s="20"/>
      <c r="AP68" s="42"/>
      <c r="AQ68" s="20"/>
      <c r="AR68" s="42"/>
      <c r="AS68" s="42"/>
      <c r="AT68" s="20"/>
      <c r="AU68" s="20"/>
      <c r="AV68" s="20"/>
      <c r="AW68" s="42"/>
      <c r="AX68" s="20"/>
    </row>
    <row r="69">
      <c r="A69" s="144"/>
      <c r="B69" s="19" t="s">
        <v>168</v>
      </c>
      <c r="C69" s="16" t="s">
        <v>58</v>
      </c>
      <c r="D69" s="20"/>
      <c r="E69" s="20"/>
      <c r="F69" s="20"/>
      <c r="G69" s="20"/>
      <c r="H69" s="20"/>
      <c r="I69" s="16"/>
      <c r="J69" s="16"/>
      <c r="K69" s="16"/>
      <c r="L69" s="20"/>
      <c r="M69" s="20"/>
      <c r="N69" s="20"/>
      <c r="O69" s="16">
        <v>1.0</v>
      </c>
      <c r="P69" s="16"/>
      <c r="Q69" s="20"/>
      <c r="R69" s="20"/>
      <c r="S69" s="16"/>
      <c r="T69" s="20"/>
      <c r="U69" s="20"/>
      <c r="V69" s="16"/>
      <c r="W69" s="16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42"/>
      <c r="AN69" s="20"/>
      <c r="AO69" s="20"/>
      <c r="AP69" s="42"/>
      <c r="AQ69" s="20"/>
      <c r="AR69" s="42"/>
      <c r="AS69" s="42"/>
      <c r="AT69" s="20"/>
      <c r="AU69" s="20"/>
      <c r="AV69" s="20"/>
      <c r="AW69" s="42"/>
      <c r="AX69" s="20"/>
    </row>
    <row r="70">
      <c r="A70" s="97"/>
      <c r="B70" s="16" t="s">
        <v>169</v>
      </c>
      <c r="C70" s="16" t="s">
        <v>58</v>
      </c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16">
        <v>1.0</v>
      </c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16" t="s">
        <v>4</v>
      </c>
      <c r="AL70" s="20"/>
      <c r="AM70" s="42"/>
      <c r="AN70" s="20"/>
      <c r="AO70" s="20"/>
      <c r="AP70" s="42"/>
      <c r="AQ70" s="20"/>
      <c r="AR70" s="42"/>
      <c r="AS70" s="42"/>
      <c r="AT70" s="20"/>
      <c r="AU70" s="20"/>
      <c r="AV70" s="16" t="s">
        <v>4</v>
      </c>
      <c r="AW70" s="42"/>
      <c r="AX70" s="20"/>
    </row>
    <row r="71">
      <c r="A71" s="97"/>
      <c r="B71" s="16" t="s">
        <v>170</v>
      </c>
      <c r="C71" s="16" t="s">
        <v>58</v>
      </c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16">
        <v>1.0</v>
      </c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16" t="s">
        <v>4</v>
      </c>
      <c r="AL71" s="20"/>
      <c r="AM71" s="42"/>
      <c r="AN71" s="20"/>
      <c r="AO71" s="20"/>
      <c r="AP71" s="42"/>
      <c r="AQ71" s="20"/>
      <c r="AR71" s="42"/>
      <c r="AS71" s="42"/>
      <c r="AT71" s="20"/>
      <c r="AU71" s="20"/>
      <c r="AV71" s="16" t="s">
        <v>4</v>
      </c>
      <c r="AW71" s="42"/>
      <c r="AX71" s="20"/>
    </row>
    <row r="72">
      <c r="A72" s="97"/>
      <c r="B72" s="16" t="s">
        <v>171</v>
      </c>
      <c r="C72" s="16" t="s">
        <v>58</v>
      </c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16"/>
      <c r="Z72" s="20"/>
      <c r="AA72" s="16">
        <v>1.0</v>
      </c>
      <c r="AB72" s="16"/>
      <c r="AC72" s="16"/>
      <c r="AD72" s="16" t="s">
        <v>118</v>
      </c>
      <c r="AE72" s="16"/>
      <c r="AF72" s="16"/>
      <c r="AG72" s="16"/>
      <c r="AH72" s="16"/>
      <c r="AI72" s="16"/>
      <c r="AJ72" s="16"/>
      <c r="AK72" s="16"/>
      <c r="AL72" s="16"/>
      <c r="AM72" s="17"/>
      <c r="AN72" s="16"/>
      <c r="AO72" s="16"/>
      <c r="AP72" s="17"/>
      <c r="AQ72" s="16"/>
      <c r="AR72" s="17"/>
      <c r="AS72" s="17"/>
      <c r="AT72" s="16"/>
      <c r="AU72" s="16"/>
      <c r="AV72" s="16"/>
      <c r="AW72" s="17"/>
      <c r="AX72" s="16"/>
    </row>
    <row r="73">
      <c r="A73" s="97"/>
      <c r="B73" s="16" t="s">
        <v>172</v>
      </c>
      <c r="C73" s="16" t="s">
        <v>58</v>
      </c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16"/>
      <c r="Z73" s="20"/>
      <c r="AA73" s="16">
        <v>1.0</v>
      </c>
      <c r="AB73" s="16"/>
      <c r="AC73" s="16"/>
      <c r="AD73" s="16"/>
      <c r="AE73" s="16"/>
      <c r="AF73" s="16"/>
      <c r="AG73" s="16"/>
      <c r="AH73" s="16"/>
      <c r="AI73" s="16"/>
      <c r="AJ73" s="16"/>
      <c r="AK73" s="16" t="s">
        <v>4</v>
      </c>
      <c r="AL73" s="16"/>
      <c r="AM73" s="17"/>
      <c r="AN73" s="16"/>
      <c r="AO73" s="16"/>
      <c r="AP73" s="17"/>
      <c r="AQ73" s="16"/>
      <c r="AR73" s="17"/>
      <c r="AS73" s="17"/>
      <c r="AT73" s="16"/>
      <c r="AU73" s="16"/>
      <c r="AV73" s="16" t="s">
        <v>4</v>
      </c>
      <c r="AW73" s="17"/>
      <c r="AX73" s="16"/>
    </row>
    <row r="74">
      <c r="A74" s="145"/>
      <c r="B74" s="26" t="s">
        <v>225</v>
      </c>
      <c r="C74" s="26" t="s">
        <v>58</v>
      </c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26"/>
      <c r="Z74" s="112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116"/>
      <c r="AN74" s="26"/>
      <c r="AO74" s="26"/>
      <c r="AP74" s="116"/>
      <c r="AQ74" s="26"/>
      <c r="AR74" s="116"/>
      <c r="AS74" s="116"/>
      <c r="AT74" s="26"/>
      <c r="AU74" s="26"/>
      <c r="AV74" s="110" t="s">
        <v>4</v>
      </c>
      <c r="AW74" s="116"/>
      <c r="AX74" s="110"/>
    </row>
    <row r="75">
      <c r="A75" s="97"/>
      <c r="B75" s="16" t="s">
        <v>174</v>
      </c>
      <c r="C75" s="16" t="s">
        <v>58</v>
      </c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16"/>
      <c r="Z75" s="20"/>
      <c r="AA75" s="16">
        <v>1.0</v>
      </c>
      <c r="AB75" s="16"/>
      <c r="AC75" s="16"/>
      <c r="AD75" s="16"/>
      <c r="AE75" s="16"/>
      <c r="AF75" s="16"/>
      <c r="AG75" s="16"/>
      <c r="AH75" s="16"/>
      <c r="AI75" s="16"/>
      <c r="AJ75" s="16"/>
      <c r="AK75" s="16" t="s">
        <v>4</v>
      </c>
      <c r="AL75" s="16"/>
      <c r="AM75" s="17"/>
      <c r="AN75" s="16"/>
      <c r="AO75" s="16"/>
      <c r="AP75" s="17"/>
      <c r="AQ75" s="16"/>
      <c r="AR75" s="17"/>
      <c r="AS75" s="17"/>
      <c r="AT75" s="16"/>
      <c r="AU75" s="16"/>
      <c r="AV75" s="16"/>
      <c r="AW75" s="17"/>
      <c r="AX75" s="16"/>
    </row>
    <row r="76">
      <c r="A76" s="97"/>
      <c r="B76" s="16" t="s">
        <v>175</v>
      </c>
      <c r="C76" s="16" t="s">
        <v>58</v>
      </c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16"/>
      <c r="Z76" s="20"/>
      <c r="AA76" s="16">
        <v>1.0</v>
      </c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7"/>
      <c r="AN76" s="16"/>
      <c r="AO76" s="16"/>
      <c r="AP76" s="17"/>
      <c r="AQ76" s="16"/>
      <c r="AR76" s="17"/>
      <c r="AS76" s="17"/>
      <c r="AT76" s="16"/>
      <c r="AU76" s="16"/>
      <c r="AV76" s="16"/>
      <c r="AW76" s="17"/>
      <c r="AX76" s="16"/>
    </row>
    <row r="77">
      <c r="A77" s="97"/>
      <c r="B77" s="16" t="s">
        <v>176</v>
      </c>
      <c r="C77" s="16" t="s">
        <v>58</v>
      </c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16"/>
      <c r="Z77" s="20"/>
      <c r="AA77" s="16"/>
      <c r="AB77" s="16"/>
      <c r="AC77" s="16"/>
      <c r="AD77" s="16"/>
      <c r="AE77" s="16"/>
      <c r="AF77" s="16"/>
      <c r="AG77" s="16"/>
      <c r="AH77" s="16"/>
      <c r="AI77" s="16"/>
      <c r="AJ77" s="16" t="s">
        <v>4</v>
      </c>
      <c r="AK77" s="16"/>
      <c r="AL77" s="16"/>
      <c r="AM77" s="17"/>
      <c r="AN77" s="16"/>
      <c r="AO77" s="16"/>
      <c r="AP77" s="17"/>
      <c r="AQ77" s="16"/>
      <c r="AR77" s="17"/>
      <c r="AS77" s="17"/>
      <c r="AT77" s="16"/>
      <c r="AU77" s="16"/>
      <c r="AV77" s="16"/>
      <c r="AW77" s="17"/>
      <c r="AX77" s="16"/>
    </row>
    <row r="78">
      <c r="A78" s="97"/>
      <c r="B78" s="16" t="s">
        <v>177</v>
      </c>
      <c r="C78" s="16" t="s">
        <v>58</v>
      </c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16"/>
      <c r="Z78" s="20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7"/>
      <c r="AN78" s="16"/>
      <c r="AO78" s="16" t="s">
        <v>118</v>
      </c>
      <c r="AP78" s="17"/>
      <c r="AQ78" s="16" t="s">
        <v>4</v>
      </c>
      <c r="AR78" s="17"/>
      <c r="AS78" s="17"/>
      <c r="AT78" s="16"/>
      <c r="AU78" s="16" t="s">
        <v>4</v>
      </c>
      <c r="AV78" s="16" t="s">
        <v>4</v>
      </c>
      <c r="AW78" s="17"/>
      <c r="AX78" s="16"/>
    </row>
    <row r="79">
      <c r="A79" s="97"/>
      <c r="B79" s="16" t="s">
        <v>178</v>
      </c>
      <c r="C79" s="16" t="s">
        <v>58</v>
      </c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16"/>
      <c r="Z79" s="20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7"/>
      <c r="AN79" s="16"/>
      <c r="AO79" s="16"/>
      <c r="AP79" s="17"/>
      <c r="AQ79" s="16"/>
      <c r="AR79" s="17"/>
      <c r="AS79" s="17"/>
      <c r="AT79" s="16"/>
      <c r="AU79" s="16"/>
      <c r="AV79" s="16" t="s">
        <v>4</v>
      </c>
      <c r="AW79" s="17"/>
      <c r="AX79" s="16"/>
    </row>
    <row r="80">
      <c r="A80" s="97"/>
      <c r="B80" s="16" t="s">
        <v>179</v>
      </c>
      <c r="C80" s="16" t="s">
        <v>58</v>
      </c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16"/>
      <c r="Z80" s="20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7"/>
      <c r="AN80" s="16"/>
      <c r="AO80" s="16"/>
      <c r="AP80" s="17"/>
      <c r="AQ80" s="16"/>
      <c r="AR80" s="17"/>
      <c r="AS80" s="17"/>
      <c r="AT80" s="16"/>
      <c r="AU80" s="16"/>
      <c r="AV80" s="16" t="s">
        <v>4</v>
      </c>
      <c r="AW80" s="17"/>
      <c r="AX80" s="16"/>
    </row>
    <row r="81">
      <c r="A81" s="97"/>
      <c r="B81" s="16" t="s">
        <v>180</v>
      </c>
      <c r="C81" s="16" t="s">
        <v>58</v>
      </c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16"/>
      <c r="Z81" s="20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7"/>
      <c r="AN81" s="16"/>
      <c r="AO81" s="16"/>
      <c r="AP81" s="17"/>
      <c r="AQ81" s="16"/>
      <c r="AR81" s="17"/>
      <c r="AS81" s="17"/>
      <c r="AT81" s="16"/>
      <c r="AU81" s="16"/>
      <c r="AV81" s="16" t="s">
        <v>4</v>
      </c>
      <c r="AW81" s="17"/>
      <c r="AX81" s="16"/>
    </row>
    <row r="82">
      <c r="A82" s="97"/>
      <c r="B82" s="16" t="s">
        <v>181</v>
      </c>
      <c r="C82" s="16" t="s">
        <v>58</v>
      </c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16"/>
      <c r="Z82" s="20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7"/>
      <c r="AN82" s="16"/>
      <c r="AO82" s="16"/>
      <c r="AP82" s="17"/>
      <c r="AQ82" s="16"/>
      <c r="AR82" s="17"/>
      <c r="AS82" s="17"/>
      <c r="AT82" s="16"/>
      <c r="AU82" s="16"/>
      <c r="AV82" s="16" t="s">
        <v>4</v>
      </c>
      <c r="AW82" s="17"/>
      <c r="AX82" s="16"/>
    </row>
    <row r="83">
      <c r="A83" s="97"/>
      <c r="B83" s="16" t="s">
        <v>182</v>
      </c>
      <c r="C83" s="16" t="s">
        <v>58</v>
      </c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16"/>
      <c r="Z83" s="20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7"/>
      <c r="AN83" s="16"/>
      <c r="AO83" s="16"/>
      <c r="AP83" s="17"/>
      <c r="AQ83" s="16"/>
      <c r="AR83" s="17"/>
      <c r="AS83" s="17"/>
      <c r="AT83" s="16"/>
      <c r="AU83" s="16"/>
      <c r="AV83" s="16" t="s">
        <v>4</v>
      </c>
      <c r="AW83" s="17"/>
      <c r="AX83" s="16"/>
    </row>
    <row r="84">
      <c r="A84" s="97"/>
      <c r="B84" s="16" t="s">
        <v>183</v>
      </c>
      <c r="C84" s="16" t="s">
        <v>58</v>
      </c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16"/>
      <c r="Z84" s="20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7"/>
      <c r="AN84" s="16"/>
      <c r="AO84" s="16"/>
      <c r="AP84" s="17"/>
      <c r="AQ84" s="16"/>
      <c r="AR84" s="17"/>
      <c r="AS84" s="17"/>
      <c r="AT84" s="16"/>
      <c r="AU84" s="16"/>
      <c r="AV84" s="16" t="s">
        <v>4</v>
      </c>
      <c r="AW84" s="17"/>
      <c r="AX84" s="16"/>
    </row>
    <row r="85">
      <c r="A85" s="97"/>
      <c r="B85" s="97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42"/>
      <c r="AN85" s="20"/>
      <c r="AO85" s="20"/>
      <c r="AP85" s="42"/>
      <c r="AQ85" s="20"/>
      <c r="AR85" s="42"/>
      <c r="AS85" s="42"/>
      <c r="AT85" s="20"/>
      <c r="AU85" s="20"/>
      <c r="AV85" s="20"/>
      <c r="AW85" s="42"/>
      <c r="AX85" s="20"/>
    </row>
    <row r="86">
      <c r="A86" s="146"/>
      <c r="B86" s="19" t="s">
        <v>226</v>
      </c>
      <c r="C86" s="16" t="s">
        <v>89</v>
      </c>
      <c r="D86" s="16" t="s">
        <v>4</v>
      </c>
      <c r="E86" s="20"/>
      <c r="F86" s="16"/>
      <c r="G86" s="20"/>
      <c r="H86" s="20"/>
      <c r="I86" s="20"/>
      <c r="J86" s="16"/>
      <c r="K86" s="20"/>
      <c r="L86" s="16"/>
      <c r="M86" s="20"/>
      <c r="N86" s="20"/>
      <c r="O86" s="20"/>
      <c r="P86" s="16"/>
      <c r="Q86" s="20"/>
      <c r="R86" s="20"/>
      <c r="S86" s="20"/>
      <c r="T86" s="20"/>
      <c r="U86" s="20"/>
      <c r="V86" s="20"/>
      <c r="W86" s="20"/>
      <c r="X86" s="16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42"/>
      <c r="AN86" s="20"/>
      <c r="AO86" s="20"/>
      <c r="AP86" s="42"/>
      <c r="AQ86" s="20"/>
      <c r="AR86" s="42"/>
      <c r="AS86" s="42"/>
      <c r="AT86" s="20"/>
      <c r="AU86" s="20"/>
      <c r="AV86" s="20"/>
      <c r="AW86" s="42"/>
      <c r="AX86" s="20"/>
    </row>
    <row r="87">
      <c r="A87" s="146"/>
      <c r="B87" s="19" t="s">
        <v>227</v>
      </c>
      <c r="C87" s="16" t="s">
        <v>89</v>
      </c>
      <c r="D87" s="16" t="s">
        <v>4</v>
      </c>
      <c r="E87" s="20"/>
      <c r="F87" s="16"/>
      <c r="G87" s="20"/>
      <c r="H87" s="16"/>
      <c r="I87" s="16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42"/>
      <c r="AN87" s="20"/>
      <c r="AO87" s="20"/>
      <c r="AP87" s="42"/>
      <c r="AQ87" s="20"/>
      <c r="AR87" s="42"/>
      <c r="AS87" s="42"/>
      <c r="AT87" s="20"/>
      <c r="AU87" s="20"/>
      <c r="AV87" s="20"/>
      <c r="AW87" s="42"/>
      <c r="AX87" s="20"/>
    </row>
    <row r="88">
      <c r="A88" s="146"/>
      <c r="B88" s="19" t="s">
        <v>228</v>
      </c>
      <c r="C88" s="16" t="s">
        <v>89</v>
      </c>
      <c r="D88" s="20"/>
      <c r="E88" s="16" t="s">
        <v>4</v>
      </c>
      <c r="F88" s="16" t="s">
        <v>4</v>
      </c>
      <c r="G88" s="20"/>
      <c r="H88" s="16" t="s">
        <v>4</v>
      </c>
      <c r="I88" s="16"/>
      <c r="J88" s="20"/>
      <c r="K88" s="20"/>
      <c r="L88" s="16" t="s">
        <v>4</v>
      </c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7"/>
      <c r="AN88" s="16"/>
      <c r="AO88" s="16"/>
      <c r="AP88" s="17"/>
      <c r="AQ88" s="16"/>
      <c r="AR88" s="17"/>
      <c r="AS88" s="17"/>
      <c r="AT88" s="16"/>
      <c r="AU88" s="16"/>
      <c r="AV88" s="16"/>
      <c r="AW88" s="17"/>
      <c r="AX88" s="16"/>
    </row>
    <row r="89">
      <c r="A89" s="146" t="s">
        <v>89</v>
      </c>
      <c r="B89" s="19" t="s">
        <v>229</v>
      </c>
      <c r="C89" s="16" t="s">
        <v>89</v>
      </c>
      <c r="D89" s="20"/>
      <c r="E89" s="16" t="s">
        <v>4</v>
      </c>
      <c r="F89" s="16" t="s">
        <v>4</v>
      </c>
      <c r="G89" s="20"/>
      <c r="H89" s="16" t="s">
        <v>4</v>
      </c>
      <c r="I89" s="20"/>
      <c r="J89" s="20"/>
      <c r="K89" s="20"/>
      <c r="L89" s="16" t="s">
        <v>4</v>
      </c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42"/>
      <c r="AN89" s="20"/>
      <c r="AO89" s="20"/>
      <c r="AP89" s="42"/>
      <c r="AQ89" s="20"/>
      <c r="AR89" s="42"/>
      <c r="AS89" s="42"/>
      <c r="AT89" s="20"/>
      <c r="AU89" s="20"/>
      <c r="AV89" s="20"/>
      <c r="AW89" s="42"/>
      <c r="AX89" s="20"/>
    </row>
    <row r="90">
      <c r="A90" s="146"/>
      <c r="B90" s="19" t="s">
        <v>191</v>
      </c>
      <c r="C90" s="16" t="s">
        <v>89</v>
      </c>
      <c r="D90" s="20"/>
      <c r="E90" s="20"/>
      <c r="F90" s="16"/>
      <c r="G90" s="20"/>
      <c r="H90" s="16" t="s">
        <v>4</v>
      </c>
      <c r="I90" s="20"/>
      <c r="J90" s="16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42"/>
      <c r="AN90" s="20"/>
      <c r="AO90" s="20"/>
      <c r="AP90" s="42"/>
      <c r="AQ90" s="20"/>
      <c r="AR90" s="42"/>
      <c r="AS90" s="42"/>
      <c r="AT90" s="20"/>
      <c r="AU90" s="20"/>
      <c r="AV90" s="20"/>
      <c r="AW90" s="42"/>
      <c r="AX90" s="20"/>
    </row>
    <row r="91">
      <c r="A91" s="146"/>
      <c r="B91" s="19" t="s">
        <v>192</v>
      </c>
      <c r="C91" s="16" t="s">
        <v>89</v>
      </c>
      <c r="D91" s="20"/>
      <c r="E91" s="20"/>
      <c r="F91" s="16"/>
      <c r="G91" s="20"/>
      <c r="H91" s="16" t="s">
        <v>4</v>
      </c>
      <c r="I91" s="20"/>
      <c r="J91" s="16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42"/>
      <c r="AN91" s="20"/>
      <c r="AO91" s="20"/>
      <c r="AP91" s="42"/>
      <c r="AQ91" s="20"/>
      <c r="AR91" s="42"/>
      <c r="AS91" s="42"/>
      <c r="AT91" s="20"/>
      <c r="AU91" s="20"/>
      <c r="AV91" s="20"/>
      <c r="AW91" s="42"/>
      <c r="AX91" s="20"/>
    </row>
    <row r="92">
      <c r="A92" s="146"/>
      <c r="B92" s="19" t="s">
        <v>193</v>
      </c>
      <c r="C92" s="16" t="s">
        <v>89</v>
      </c>
      <c r="D92" s="20"/>
      <c r="E92" s="20"/>
      <c r="F92" s="16"/>
      <c r="G92" s="20"/>
      <c r="H92" s="16" t="s">
        <v>4</v>
      </c>
      <c r="I92" s="20"/>
      <c r="J92" s="16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42"/>
      <c r="AN92" s="20"/>
      <c r="AO92" s="20"/>
      <c r="AP92" s="42"/>
      <c r="AQ92" s="20"/>
      <c r="AR92" s="42"/>
      <c r="AS92" s="42"/>
      <c r="AT92" s="20"/>
      <c r="AU92" s="20"/>
      <c r="AV92" s="20"/>
      <c r="AW92" s="42"/>
      <c r="AX92" s="20"/>
    </row>
    <row r="93">
      <c r="A93" s="146"/>
      <c r="B93" s="19" t="s">
        <v>194</v>
      </c>
      <c r="C93" s="16" t="s">
        <v>89</v>
      </c>
      <c r="D93" s="20"/>
      <c r="E93" s="20"/>
      <c r="F93" s="16"/>
      <c r="G93" s="20"/>
      <c r="H93" s="16"/>
      <c r="I93" s="20"/>
      <c r="J93" s="16" t="s">
        <v>4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42"/>
      <c r="AN93" s="20"/>
      <c r="AO93" s="20"/>
      <c r="AP93" s="42"/>
      <c r="AQ93" s="20"/>
      <c r="AR93" s="42"/>
      <c r="AS93" s="42"/>
      <c r="AT93" s="20"/>
      <c r="AU93" s="20"/>
      <c r="AV93" s="20"/>
      <c r="AW93" s="42"/>
      <c r="AX93" s="20"/>
    </row>
    <row r="94">
      <c r="A94" s="146"/>
      <c r="B94" s="19" t="s">
        <v>195</v>
      </c>
      <c r="C94" s="16" t="s">
        <v>89</v>
      </c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16" t="s">
        <v>4</v>
      </c>
      <c r="AD94" s="16"/>
      <c r="AE94" s="16"/>
      <c r="AF94" s="16"/>
      <c r="AG94" s="16"/>
      <c r="AH94" s="16"/>
      <c r="AI94" s="16"/>
      <c r="AJ94" s="16"/>
      <c r="AK94" s="16"/>
      <c r="AL94" s="16"/>
      <c r="AM94" s="17"/>
      <c r="AN94" s="16"/>
      <c r="AO94" s="16"/>
      <c r="AP94" s="17"/>
      <c r="AQ94" s="16"/>
      <c r="AR94" s="17"/>
      <c r="AS94" s="17"/>
      <c r="AT94" s="16"/>
      <c r="AU94" s="16"/>
      <c r="AV94" s="16"/>
      <c r="AW94" s="17"/>
      <c r="AX94" s="16"/>
    </row>
    <row r="95">
      <c r="A95" s="146"/>
      <c r="B95" s="19" t="s">
        <v>196</v>
      </c>
      <c r="C95" s="16" t="s">
        <v>89</v>
      </c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16" t="s">
        <v>4</v>
      </c>
      <c r="AD95" s="16"/>
      <c r="AE95" s="16"/>
      <c r="AF95" s="16"/>
      <c r="AG95" s="16"/>
      <c r="AH95" s="16"/>
      <c r="AI95" s="16"/>
      <c r="AJ95" s="16"/>
      <c r="AK95" s="16"/>
      <c r="AL95" s="16"/>
      <c r="AM95" s="17"/>
      <c r="AN95" s="16"/>
      <c r="AO95" s="16"/>
      <c r="AP95" s="17"/>
      <c r="AQ95" s="16"/>
      <c r="AR95" s="17"/>
      <c r="AS95" s="17"/>
      <c r="AT95" s="16"/>
      <c r="AU95" s="16"/>
      <c r="AV95" s="16"/>
      <c r="AW95" s="17"/>
      <c r="AX95" s="16"/>
    </row>
    <row r="96">
      <c r="A96" s="146"/>
      <c r="B96" s="19" t="s">
        <v>197</v>
      </c>
      <c r="C96" s="16" t="s">
        <v>89</v>
      </c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7"/>
      <c r="AN96" s="16"/>
      <c r="AO96" s="16"/>
      <c r="AP96" s="17"/>
      <c r="AQ96" s="16" t="s">
        <v>4</v>
      </c>
      <c r="AR96" s="17"/>
      <c r="AS96" s="17"/>
      <c r="AT96" s="16"/>
      <c r="AU96" s="16"/>
      <c r="AV96" s="16"/>
      <c r="AW96" s="17"/>
      <c r="AX96" s="16"/>
    </row>
    <row r="97">
      <c r="A97" s="146"/>
      <c r="B97" s="19" t="s">
        <v>198</v>
      </c>
      <c r="C97" s="16" t="s">
        <v>89</v>
      </c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7"/>
      <c r="AN97" s="16"/>
      <c r="AO97" s="16"/>
      <c r="AP97" s="17"/>
      <c r="AQ97" s="16" t="s">
        <v>4</v>
      </c>
      <c r="AR97" s="17"/>
      <c r="AS97" s="17"/>
      <c r="AT97" s="16"/>
      <c r="AU97" s="16"/>
      <c r="AV97" s="16"/>
      <c r="AW97" s="17"/>
      <c r="AX97" s="16"/>
    </row>
    <row r="98">
      <c r="A98" s="146"/>
      <c r="B98" s="19" t="s">
        <v>199</v>
      </c>
      <c r="C98" s="16" t="s">
        <v>89</v>
      </c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7"/>
      <c r="AN98" s="16"/>
      <c r="AO98" s="16"/>
      <c r="AP98" s="17"/>
      <c r="AQ98" s="16"/>
      <c r="AR98" s="17"/>
      <c r="AS98" s="17"/>
      <c r="AT98" s="16" t="s">
        <v>118</v>
      </c>
      <c r="AU98" s="16"/>
      <c r="AV98" s="16"/>
      <c r="AW98" s="17"/>
      <c r="AX98" s="16"/>
    </row>
    <row r="99">
      <c r="A99" s="146"/>
      <c r="B99" s="19" t="s">
        <v>200</v>
      </c>
      <c r="C99" s="16" t="s">
        <v>89</v>
      </c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7"/>
      <c r="AN99" s="16"/>
      <c r="AO99" s="16"/>
      <c r="AP99" s="17"/>
      <c r="AQ99" s="16"/>
      <c r="AR99" s="17"/>
      <c r="AS99" s="17"/>
      <c r="AT99" s="16" t="s">
        <v>118</v>
      </c>
      <c r="AU99" s="16"/>
      <c r="AV99" s="16"/>
      <c r="AW99" s="17"/>
      <c r="AX99" s="16"/>
    </row>
    <row r="100">
      <c r="A100" s="146"/>
      <c r="B100" s="46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42"/>
      <c r="AN100" s="20"/>
      <c r="AO100" s="20"/>
      <c r="AP100" s="42"/>
      <c r="AQ100" s="20"/>
      <c r="AR100" s="42"/>
      <c r="AS100" s="42"/>
      <c r="AT100" s="20"/>
      <c r="AU100" s="20"/>
      <c r="AV100" s="20"/>
      <c r="AW100" s="42"/>
      <c r="AX100" s="20"/>
    </row>
    <row r="101">
      <c r="A101" s="147" t="s">
        <v>98</v>
      </c>
      <c r="B101" s="16"/>
      <c r="C101" s="16"/>
      <c r="D101" s="20"/>
      <c r="E101" s="20"/>
      <c r="F101" s="20"/>
      <c r="G101" s="20"/>
      <c r="H101" s="20"/>
      <c r="I101" s="20"/>
      <c r="J101" s="20"/>
      <c r="K101" s="20"/>
      <c r="L101" s="16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42"/>
      <c r="AN101" s="20"/>
      <c r="AO101" s="20"/>
      <c r="AP101" s="42"/>
      <c r="AQ101" s="20"/>
      <c r="AR101" s="42"/>
      <c r="AS101" s="42"/>
      <c r="AT101" s="20"/>
      <c r="AU101" s="20"/>
      <c r="AV101" s="20"/>
      <c r="AW101" s="42"/>
      <c r="AX101" s="20"/>
    </row>
    <row r="102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42"/>
      <c r="AN102" s="20"/>
      <c r="AO102" s="20"/>
      <c r="AP102" s="42"/>
      <c r="AQ102" s="20"/>
      <c r="AR102" s="42"/>
      <c r="AS102" s="42"/>
      <c r="AT102" s="20"/>
      <c r="AU102" s="20"/>
      <c r="AV102" s="20"/>
      <c r="AW102" s="42"/>
      <c r="AX102" s="20"/>
    </row>
    <row r="103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42"/>
      <c r="AN103" s="20"/>
      <c r="AO103" s="20"/>
      <c r="AP103" s="42"/>
      <c r="AQ103" s="20"/>
      <c r="AR103" s="42"/>
      <c r="AS103" s="42"/>
      <c r="AT103" s="20"/>
      <c r="AU103" s="20"/>
      <c r="AV103" s="20"/>
      <c r="AW103" s="42"/>
      <c r="AX103" s="20"/>
    </row>
    <row r="104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42"/>
      <c r="AN104" s="20"/>
      <c r="AO104" s="20"/>
      <c r="AP104" s="42"/>
      <c r="AQ104" s="20"/>
      <c r="AR104" s="42"/>
      <c r="AS104" s="42"/>
      <c r="AT104" s="20"/>
      <c r="AU104" s="20"/>
      <c r="AV104" s="20"/>
      <c r="AW104" s="42"/>
      <c r="AX104" s="20"/>
    </row>
    <row r="10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42"/>
      <c r="AN105" s="20"/>
      <c r="AO105" s="20"/>
      <c r="AP105" s="42"/>
      <c r="AQ105" s="20"/>
      <c r="AR105" s="42"/>
      <c r="AS105" s="42"/>
      <c r="AT105" s="20"/>
      <c r="AU105" s="20"/>
      <c r="AV105" s="20"/>
      <c r="AW105" s="42"/>
      <c r="AX105" s="20"/>
    </row>
    <row r="106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42"/>
      <c r="AN106" s="20"/>
      <c r="AO106" s="20"/>
      <c r="AP106" s="42"/>
      <c r="AQ106" s="20"/>
      <c r="AR106" s="42"/>
      <c r="AS106" s="42"/>
      <c r="AT106" s="20"/>
      <c r="AU106" s="20"/>
      <c r="AV106" s="20"/>
      <c r="AW106" s="42"/>
      <c r="AX106" s="20"/>
    </row>
    <row r="107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42"/>
      <c r="AN107" s="20"/>
      <c r="AO107" s="20"/>
      <c r="AP107" s="42"/>
      <c r="AQ107" s="20"/>
      <c r="AR107" s="42"/>
      <c r="AS107" s="42"/>
      <c r="AT107" s="20"/>
      <c r="AU107" s="20"/>
      <c r="AV107" s="20"/>
      <c r="AW107" s="42"/>
      <c r="AX107" s="20"/>
    </row>
    <row r="108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42"/>
      <c r="AN108" s="20"/>
      <c r="AO108" s="20"/>
      <c r="AP108" s="42"/>
      <c r="AQ108" s="20"/>
      <c r="AR108" s="42"/>
      <c r="AS108" s="42"/>
      <c r="AT108" s="20"/>
      <c r="AU108" s="20"/>
      <c r="AV108" s="20"/>
      <c r="AW108" s="42"/>
      <c r="AX108" s="20"/>
    </row>
    <row r="109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42"/>
      <c r="AN109" s="20"/>
      <c r="AO109" s="20"/>
      <c r="AP109" s="42"/>
      <c r="AQ109" s="20"/>
      <c r="AR109" s="42"/>
      <c r="AS109" s="42"/>
      <c r="AT109" s="20"/>
      <c r="AU109" s="20"/>
      <c r="AV109" s="20"/>
      <c r="AW109" s="42"/>
      <c r="AX109" s="20"/>
    </row>
    <row r="110">
      <c r="B110" s="5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42"/>
      <c r="AN110" s="20"/>
      <c r="AO110" s="20"/>
      <c r="AP110" s="42"/>
      <c r="AQ110" s="20"/>
      <c r="AR110" s="42"/>
      <c r="AS110" s="42"/>
      <c r="AT110" s="20"/>
      <c r="AU110" s="20"/>
      <c r="AV110" s="20"/>
      <c r="AW110" s="42"/>
      <c r="AX110" s="20"/>
    </row>
    <row r="111">
      <c r="A111" s="109"/>
      <c r="B111" s="140" t="s">
        <v>2</v>
      </c>
      <c r="C111" s="16"/>
      <c r="D111" s="16">
        <f t="shared" ref="D111:AO111" si="1">countifs($C$2:$C$106,"OM",D$2:D$106,"x")</f>
        <v>34</v>
      </c>
      <c r="E111" s="16">
        <f t="shared" si="1"/>
        <v>30</v>
      </c>
      <c r="F111" s="16">
        <f t="shared" si="1"/>
        <v>27</v>
      </c>
      <c r="G111" s="16">
        <f t="shared" si="1"/>
        <v>31</v>
      </c>
      <c r="H111" s="16">
        <f t="shared" si="1"/>
        <v>23</v>
      </c>
      <c r="I111" s="16">
        <f t="shared" si="1"/>
        <v>34</v>
      </c>
      <c r="J111" s="16">
        <f t="shared" si="1"/>
        <v>24</v>
      </c>
      <c r="K111" s="16">
        <f t="shared" si="1"/>
        <v>22</v>
      </c>
      <c r="L111" s="16">
        <f t="shared" si="1"/>
        <v>21</v>
      </c>
      <c r="M111" s="16">
        <f t="shared" si="1"/>
        <v>25</v>
      </c>
      <c r="N111" s="16">
        <f t="shared" si="1"/>
        <v>19</v>
      </c>
      <c r="O111" s="16">
        <f t="shared" si="1"/>
        <v>25</v>
      </c>
      <c r="P111" s="16">
        <f t="shared" si="1"/>
        <v>20</v>
      </c>
      <c r="Q111" s="16">
        <f t="shared" si="1"/>
        <v>12</v>
      </c>
      <c r="R111" s="16">
        <f t="shared" si="1"/>
        <v>26</v>
      </c>
      <c r="S111" s="16">
        <f t="shared" si="1"/>
        <v>20</v>
      </c>
      <c r="T111" s="16">
        <f t="shared" si="1"/>
        <v>23</v>
      </c>
      <c r="U111" s="16">
        <f t="shared" si="1"/>
        <v>30</v>
      </c>
      <c r="V111" s="16">
        <f t="shared" si="1"/>
        <v>20</v>
      </c>
      <c r="W111" s="16">
        <f t="shared" si="1"/>
        <v>29</v>
      </c>
      <c r="X111" s="16">
        <f t="shared" si="1"/>
        <v>18</v>
      </c>
      <c r="Y111" s="16">
        <f t="shared" si="1"/>
        <v>29</v>
      </c>
      <c r="Z111" s="16">
        <f t="shared" si="1"/>
        <v>21</v>
      </c>
      <c r="AA111" s="16">
        <f t="shared" si="1"/>
        <v>23</v>
      </c>
      <c r="AB111" s="16">
        <f t="shared" si="1"/>
        <v>21</v>
      </c>
      <c r="AC111" s="16">
        <f t="shared" si="1"/>
        <v>18</v>
      </c>
      <c r="AD111" s="16">
        <f t="shared" si="1"/>
        <v>20</v>
      </c>
      <c r="AE111" s="16">
        <f t="shared" si="1"/>
        <v>11</v>
      </c>
      <c r="AF111" s="16">
        <f t="shared" si="1"/>
        <v>20</v>
      </c>
      <c r="AG111" s="16">
        <f t="shared" si="1"/>
        <v>0</v>
      </c>
      <c r="AH111" s="16">
        <f t="shared" si="1"/>
        <v>14</v>
      </c>
      <c r="AI111" s="16">
        <f t="shared" si="1"/>
        <v>12</v>
      </c>
      <c r="AJ111" s="16">
        <f t="shared" si="1"/>
        <v>22</v>
      </c>
      <c r="AK111" s="16">
        <f t="shared" si="1"/>
        <v>12</v>
      </c>
      <c r="AL111" s="16">
        <f t="shared" si="1"/>
        <v>0</v>
      </c>
      <c r="AM111" s="17">
        <f t="shared" si="1"/>
        <v>0</v>
      </c>
      <c r="AN111" s="16">
        <f t="shared" si="1"/>
        <v>21</v>
      </c>
      <c r="AO111" s="16">
        <f t="shared" si="1"/>
        <v>21</v>
      </c>
      <c r="AP111" s="17"/>
      <c r="AQ111" s="16">
        <f t="shared" ref="AQ111:AV111" si="2">countifs($C$2:$C$106,"OM",AQ$2:AQ$106,"x")</f>
        <v>18</v>
      </c>
      <c r="AR111" s="17">
        <f t="shared" si="2"/>
        <v>0</v>
      </c>
      <c r="AS111" s="17">
        <f t="shared" si="2"/>
        <v>0</v>
      </c>
      <c r="AT111" s="16">
        <f t="shared" si="2"/>
        <v>24</v>
      </c>
      <c r="AU111" s="16">
        <f t="shared" si="2"/>
        <v>22</v>
      </c>
      <c r="AV111" s="16">
        <f t="shared" si="2"/>
        <v>31</v>
      </c>
      <c r="AW111" s="17"/>
      <c r="AX111" s="16">
        <f>countifs($C$2:$C$106,"OM",AX$2:AX$106,"x")</f>
        <v>7</v>
      </c>
    </row>
    <row r="112">
      <c r="A112" s="148"/>
      <c r="B112" s="149" t="s">
        <v>53</v>
      </c>
      <c r="C112" s="20"/>
      <c r="D112" s="16">
        <f t="shared" ref="D112:AO112" si="3">countifs($C$2:$C$106,"FT",D$2:D$106,"x")</f>
        <v>2</v>
      </c>
      <c r="E112" s="16">
        <f t="shared" si="3"/>
        <v>2</v>
      </c>
      <c r="F112" s="16">
        <f t="shared" si="3"/>
        <v>3</v>
      </c>
      <c r="G112" s="16">
        <f t="shared" si="3"/>
        <v>1</v>
      </c>
      <c r="H112" s="16">
        <f t="shared" si="3"/>
        <v>2</v>
      </c>
      <c r="I112" s="16">
        <f t="shared" si="3"/>
        <v>2</v>
      </c>
      <c r="J112" s="16">
        <f t="shared" si="3"/>
        <v>1</v>
      </c>
      <c r="K112" s="16">
        <f t="shared" si="3"/>
        <v>2</v>
      </c>
      <c r="L112" s="16">
        <f t="shared" si="3"/>
        <v>2</v>
      </c>
      <c r="M112" s="16">
        <f t="shared" si="3"/>
        <v>2</v>
      </c>
      <c r="N112" s="16">
        <f t="shared" si="3"/>
        <v>2</v>
      </c>
      <c r="O112" s="16">
        <f t="shared" si="3"/>
        <v>0</v>
      </c>
      <c r="P112" s="16">
        <f t="shared" si="3"/>
        <v>1</v>
      </c>
      <c r="Q112" s="16">
        <f t="shared" si="3"/>
        <v>0</v>
      </c>
      <c r="R112" s="16">
        <f t="shared" si="3"/>
        <v>2</v>
      </c>
      <c r="S112" s="16">
        <f t="shared" si="3"/>
        <v>2</v>
      </c>
      <c r="T112" s="16">
        <f t="shared" si="3"/>
        <v>1</v>
      </c>
      <c r="U112" s="16">
        <f t="shared" si="3"/>
        <v>2</v>
      </c>
      <c r="V112" s="16">
        <f t="shared" si="3"/>
        <v>1</v>
      </c>
      <c r="W112" s="16">
        <f t="shared" si="3"/>
        <v>2</v>
      </c>
      <c r="X112" s="16">
        <f t="shared" si="3"/>
        <v>0</v>
      </c>
      <c r="Y112" s="16">
        <f t="shared" si="3"/>
        <v>2</v>
      </c>
      <c r="Z112" s="16">
        <f t="shared" si="3"/>
        <v>1</v>
      </c>
      <c r="AA112" s="16">
        <f t="shared" si="3"/>
        <v>1</v>
      </c>
      <c r="AB112" s="16">
        <f t="shared" si="3"/>
        <v>1</v>
      </c>
      <c r="AC112" s="16">
        <f t="shared" si="3"/>
        <v>0</v>
      </c>
      <c r="AD112" s="16">
        <f t="shared" si="3"/>
        <v>1</v>
      </c>
      <c r="AE112" s="16">
        <f t="shared" si="3"/>
        <v>0</v>
      </c>
      <c r="AF112" s="16">
        <f t="shared" si="3"/>
        <v>0</v>
      </c>
      <c r="AG112" s="16">
        <f t="shared" si="3"/>
        <v>0</v>
      </c>
      <c r="AH112" s="16">
        <f t="shared" si="3"/>
        <v>1</v>
      </c>
      <c r="AI112" s="16">
        <f t="shared" si="3"/>
        <v>0</v>
      </c>
      <c r="AJ112" s="16">
        <f t="shared" si="3"/>
        <v>2</v>
      </c>
      <c r="AK112" s="16">
        <f t="shared" si="3"/>
        <v>4</v>
      </c>
      <c r="AL112" s="16">
        <f t="shared" si="3"/>
        <v>0</v>
      </c>
      <c r="AM112" s="17">
        <f t="shared" si="3"/>
        <v>0</v>
      </c>
      <c r="AN112" s="16">
        <f t="shared" si="3"/>
        <v>0</v>
      </c>
      <c r="AO112" s="16">
        <f t="shared" si="3"/>
        <v>2</v>
      </c>
      <c r="AP112" s="17"/>
      <c r="AQ112" s="16">
        <f t="shared" ref="AQ112:AV112" si="4">countifs($C$2:$C$106,"FT",AQ$2:AQ$106,"x")</f>
        <v>2</v>
      </c>
      <c r="AR112" s="17">
        <f t="shared" si="4"/>
        <v>0</v>
      </c>
      <c r="AS112" s="17">
        <f t="shared" si="4"/>
        <v>0</v>
      </c>
      <c r="AT112" s="16">
        <f t="shared" si="4"/>
        <v>1</v>
      </c>
      <c r="AU112" s="16">
        <f t="shared" si="4"/>
        <v>1</v>
      </c>
      <c r="AV112" s="16">
        <f t="shared" si="4"/>
        <v>13</v>
      </c>
      <c r="AW112" s="17"/>
      <c r="AX112" s="16">
        <f>countifs($C$2:$C$106,"FT",AX$2:AX$106,"x")</f>
        <v>0</v>
      </c>
    </row>
    <row r="113">
      <c r="A113" s="95"/>
      <c r="B113" s="150" t="s">
        <v>30</v>
      </c>
      <c r="C113" s="20"/>
      <c r="D113" s="16">
        <f t="shared" ref="D113:AO113" si="5">countifs($C$2:$C$106,"XT",D$2:D$106,"x")</f>
        <v>2</v>
      </c>
      <c r="E113" s="16">
        <f t="shared" si="5"/>
        <v>3</v>
      </c>
      <c r="F113" s="16">
        <f t="shared" si="5"/>
        <v>1</v>
      </c>
      <c r="G113" s="16">
        <f t="shared" si="5"/>
        <v>3</v>
      </c>
      <c r="H113" s="16">
        <f t="shared" si="5"/>
        <v>3</v>
      </c>
      <c r="I113" s="16">
        <f t="shared" si="5"/>
        <v>4</v>
      </c>
      <c r="J113" s="16">
        <f t="shared" si="5"/>
        <v>4</v>
      </c>
      <c r="K113" s="16">
        <f t="shared" si="5"/>
        <v>3</v>
      </c>
      <c r="L113" s="16">
        <f t="shared" si="5"/>
        <v>0</v>
      </c>
      <c r="M113" s="16">
        <f t="shared" si="5"/>
        <v>5</v>
      </c>
      <c r="N113" s="16">
        <f t="shared" si="5"/>
        <v>2</v>
      </c>
      <c r="O113" s="16">
        <f t="shared" si="5"/>
        <v>4</v>
      </c>
      <c r="P113" s="16">
        <f t="shared" si="5"/>
        <v>2</v>
      </c>
      <c r="Q113" s="16">
        <f t="shared" si="5"/>
        <v>4</v>
      </c>
      <c r="R113" s="16">
        <f t="shared" si="5"/>
        <v>5</v>
      </c>
      <c r="S113" s="16">
        <f t="shared" si="5"/>
        <v>7</v>
      </c>
      <c r="T113" s="16">
        <f t="shared" si="5"/>
        <v>1</v>
      </c>
      <c r="U113" s="16">
        <f t="shared" si="5"/>
        <v>4</v>
      </c>
      <c r="V113" s="16">
        <f t="shared" si="5"/>
        <v>4</v>
      </c>
      <c r="W113" s="16">
        <f t="shared" si="5"/>
        <v>3</v>
      </c>
      <c r="X113" s="16">
        <f t="shared" si="5"/>
        <v>0</v>
      </c>
      <c r="Y113" s="16">
        <f t="shared" si="5"/>
        <v>7</v>
      </c>
      <c r="Z113" s="16">
        <f t="shared" si="5"/>
        <v>3</v>
      </c>
      <c r="AA113" s="16">
        <f t="shared" si="5"/>
        <v>4</v>
      </c>
      <c r="AB113" s="16">
        <f t="shared" si="5"/>
        <v>4</v>
      </c>
      <c r="AC113" s="16">
        <f t="shared" si="5"/>
        <v>1</v>
      </c>
      <c r="AD113" s="16">
        <f t="shared" si="5"/>
        <v>0</v>
      </c>
      <c r="AE113" s="16">
        <f t="shared" si="5"/>
        <v>3</v>
      </c>
      <c r="AF113" s="16">
        <f t="shared" si="5"/>
        <v>5</v>
      </c>
      <c r="AG113" s="16">
        <f t="shared" si="5"/>
        <v>0</v>
      </c>
      <c r="AH113" s="16">
        <f t="shared" si="5"/>
        <v>4</v>
      </c>
      <c r="AI113" s="16">
        <f t="shared" si="5"/>
        <v>4</v>
      </c>
      <c r="AJ113" s="16">
        <f t="shared" si="5"/>
        <v>7</v>
      </c>
      <c r="AK113" s="16">
        <f t="shared" si="5"/>
        <v>6</v>
      </c>
      <c r="AL113" s="16">
        <f t="shared" si="5"/>
        <v>0</v>
      </c>
      <c r="AM113" s="17">
        <f t="shared" si="5"/>
        <v>0</v>
      </c>
      <c r="AN113" s="16">
        <f t="shared" si="5"/>
        <v>8</v>
      </c>
      <c r="AO113" s="16">
        <f t="shared" si="5"/>
        <v>6</v>
      </c>
      <c r="AP113" s="17"/>
      <c r="AQ113" s="16">
        <f t="shared" ref="AQ113:AV113" si="6">countifs($C$2:$C$106,"XT",AQ$2:AQ$106,"x")</f>
        <v>3</v>
      </c>
      <c r="AR113" s="17">
        <f t="shared" si="6"/>
        <v>0</v>
      </c>
      <c r="AS113" s="17">
        <f t="shared" si="6"/>
        <v>0</v>
      </c>
      <c r="AT113" s="16">
        <f t="shared" si="6"/>
        <v>8</v>
      </c>
      <c r="AU113" s="16">
        <f t="shared" si="6"/>
        <v>5</v>
      </c>
      <c r="AV113" s="16">
        <f t="shared" si="6"/>
        <v>8</v>
      </c>
      <c r="AW113" s="17"/>
      <c r="AX113" s="16">
        <f>countifs($C$2:$C$106,"XT",AX$2:AX$106,"x")</f>
        <v>7</v>
      </c>
    </row>
    <row r="114">
      <c r="A114" s="151"/>
      <c r="B114" s="152" t="s">
        <v>58</v>
      </c>
      <c r="C114" s="20"/>
      <c r="D114" s="16">
        <f t="shared" ref="D114:E114" si="7">countifs($C$2:$C$106,"RN",D$2:D$106,"1")</f>
        <v>0</v>
      </c>
      <c r="E114" s="16">
        <f t="shared" si="7"/>
        <v>0</v>
      </c>
      <c r="F114" s="16">
        <f t="shared" ref="F114:AB114" si="8">countifs($C$2:$C$106,"FT",F$2:F$106,"1")</f>
        <v>0</v>
      </c>
      <c r="G114" s="16">
        <f t="shared" si="8"/>
        <v>0</v>
      </c>
      <c r="H114" s="16">
        <f t="shared" si="8"/>
        <v>0</v>
      </c>
      <c r="I114" s="16">
        <f t="shared" si="8"/>
        <v>2</v>
      </c>
      <c r="J114" s="16">
        <f t="shared" si="8"/>
        <v>1</v>
      </c>
      <c r="K114" s="16">
        <f t="shared" si="8"/>
        <v>0</v>
      </c>
      <c r="L114" s="16">
        <f t="shared" si="8"/>
        <v>0</v>
      </c>
      <c r="M114" s="16">
        <f t="shared" si="8"/>
        <v>0</v>
      </c>
      <c r="N114" s="16">
        <f t="shared" si="8"/>
        <v>0</v>
      </c>
      <c r="O114" s="16">
        <f t="shared" si="8"/>
        <v>1</v>
      </c>
      <c r="P114" s="16">
        <f t="shared" si="8"/>
        <v>0</v>
      </c>
      <c r="Q114" s="16">
        <f t="shared" si="8"/>
        <v>0</v>
      </c>
      <c r="R114" s="16">
        <f t="shared" si="8"/>
        <v>0</v>
      </c>
      <c r="S114" s="16">
        <f t="shared" si="8"/>
        <v>0</v>
      </c>
      <c r="T114" s="16">
        <f t="shared" si="8"/>
        <v>0</v>
      </c>
      <c r="U114" s="16">
        <f t="shared" si="8"/>
        <v>0</v>
      </c>
      <c r="V114" s="16">
        <f t="shared" si="8"/>
        <v>0</v>
      </c>
      <c r="W114" s="16">
        <f t="shared" si="8"/>
        <v>0</v>
      </c>
      <c r="X114" s="16">
        <f t="shared" si="8"/>
        <v>0</v>
      </c>
      <c r="Y114" s="16">
        <f t="shared" si="8"/>
        <v>2</v>
      </c>
      <c r="Z114" s="16">
        <f t="shared" si="8"/>
        <v>0</v>
      </c>
      <c r="AA114" s="16">
        <f t="shared" si="8"/>
        <v>4</v>
      </c>
      <c r="AB114" s="16">
        <f t="shared" si="8"/>
        <v>0</v>
      </c>
      <c r="AC114" s="16">
        <f t="shared" ref="AC114:AO114" si="9">countifs($C$2:$C$106,"FT",AC$2:AC$106,"x")</f>
        <v>0</v>
      </c>
      <c r="AD114" s="16">
        <f t="shared" si="9"/>
        <v>1</v>
      </c>
      <c r="AE114" s="16">
        <f t="shared" si="9"/>
        <v>0</v>
      </c>
      <c r="AF114" s="16">
        <f t="shared" si="9"/>
        <v>0</v>
      </c>
      <c r="AG114" s="16">
        <f t="shared" si="9"/>
        <v>0</v>
      </c>
      <c r="AH114" s="16">
        <f t="shared" si="9"/>
        <v>1</v>
      </c>
      <c r="AI114" s="16">
        <f t="shared" si="9"/>
        <v>0</v>
      </c>
      <c r="AJ114" s="16">
        <f t="shared" si="9"/>
        <v>2</v>
      </c>
      <c r="AK114" s="16">
        <f t="shared" si="9"/>
        <v>4</v>
      </c>
      <c r="AL114" s="16">
        <f t="shared" si="9"/>
        <v>0</v>
      </c>
      <c r="AM114" s="17">
        <f t="shared" si="9"/>
        <v>0</v>
      </c>
      <c r="AN114" s="16">
        <f t="shared" si="9"/>
        <v>0</v>
      </c>
      <c r="AO114" s="16">
        <f t="shared" si="9"/>
        <v>2</v>
      </c>
      <c r="AP114" s="17"/>
      <c r="AQ114" s="16">
        <f t="shared" ref="AQ114:AV114" si="10">countifs($C$2:$C$106,"FT",AQ$2:AQ$106,"x")</f>
        <v>2</v>
      </c>
      <c r="AR114" s="17">
        <f t="shared" si="10"/>
        <v>0</v>
      </c>
      <c r="AS114" s="17">
        <f t="shared" si="10"/>
        <v>0</v>
      </c>
      <c r="AT114" s="16">
        <f t="shared" si="10"/>
        <v>1</v>
      </c>
      <c r="AU114" s="16">
        <f t="shared" si="10"/>
        <v>1</v>
      </c>
      <c r="AV114" s="16">
        <f t="shared" si="10"/>
        <v>13</v>
      </c>
      <c r="AW114" s="17"/>
      <c r="AX114" s="16">
        <f>countifs($C$2:$C$106,"FT",AX$2:AX$106,"x")</f>
        <v>0</v>
      </c>
    </row>
    <row r="115">
      <c r="A115" s="50"/>
      <c r="B115" s="153" t="s">
        <v>98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42"/>
      <c r="AN115" s="20"/>
      <c r="AO115" s="20"/>
      <c r="AP115" s="42"/>
      <c r="AQ115" s="20"/>
      <c r="AR115" s="42"/>
      <c r="AS115" s="42"/>
      <c r="AT115" s="20"/>
      <c r="AU115" s="20"/>
      <c r="AV115" s="20"/>
      <c r="AW115" s="42"/>
      <c r="AX115" s="20"/>
    </row>
    <row r="116">
      <c r="A116" s="46"/>
      <c r="B116" s="154" t="s">
        <v>89</v>
      </c>
      <c r="C116" s="20"/>
      <c r="D116" s="16">
        <f t="shared" ref="D116:AO116" si="11">countifs($C$2:$C$106,"V",D$2:D$106,"x")</f>
        <v>2</v>
      </c>
      <c r="E116" s="16">
        <f t="shared" si="11"/>
        <v>2</v>
      </c>
      <c r="F116" s="16">
        <f t="shared" si="11"/>
        <v>2</v>
      </c>
      <c r="G116" s="16">
        <f t="shared" si="11"/>
        <v>0</v>
      </c>
      <c r="H116" s="16">
        <f t="shared" si="11"/>
        <v>5</v>
      </c>
      <c r="I116" s="16">
        <f t="shared" si="11"/>
        <v>0</v>
      </c>
      <c r="J116" s="16">
        <f t="shared" si="11"/>
        <v>1</v>
      </c>
      <c r="K116" s="16">
        <f t="shared" si="11"/>
        <v>0</v>
      </c>
      <c r="L116" s="16">
        <f t="shared" si="11"/>
        <v>2</v>
      </c>
      <c r="M116" s="16">
        <f t="shared" si="11"/>
        <v>0</v>
      </c>
      <c r="N116" s="16">
        <f t="shared" si="11"/>
        <v>0</v>
      </c>
      <c r="O116" s="16">
        <f t="shared" si="11"/>
        <v>0</v>
      </c>
      <c r="P116" s="16">
        <f t="shared" si="11"/>
        <v>0</v>
      </c>
      <c r="Q116" s="16">
        <f t="shared" si="11"/>
        <v>0</v>
      </c>
      <c r="R116" s="16">
        <f t="shared" si="11"/>
        <v>0</v>
      </c>
      <c r="S116" s="16">
        <f t="shared" si="11"/>
        <v>0</v>
      </c>
      <c r="T116" s="16">
        <f t="shared" si="11"/>
        <v>0</v>
      </c>
      <c r="U116" s="16">
        <f t="shared" si="11"/>
        <v>0</v>
      </c>
      <c r="V116" s="16">
        <f t="shared" si="11"/>
        <v>0</v>
      </c>
      <c r="W116" s="16">
        <f t="shared" si="11"/>
        <v>0</v>
      </c>
      <c r="X116" s="16">
        <f t="shared" si="11"/>
        <v>0</v>
      </c>
      <c r="Y116" s="16">
        <f t="shared" si="11"/>
        <v>0</v>
      </c>
      <c r="Z116" s="16">
        <f t="shared" si="11"/>
        <v>0</v>
      </c>
      <c r="AA116" s="16">
        <f t="shared" si="11"/>
        <v>0</v>
      </c>
      <c r="AB116" s="16">
        <f t="shared" si="11"/>
        <v>0</v>
      </c>
      <c r="AC116" s="16">
        <f t="shared" si="11"/>
        <v>2</v>
      </c>
      <c r="AD116" s="16">
        <f t="shared" si="11"/>
        <v>0</v>
      </c>
      <c r="AE116" s="16">
        <f t="shared" si="11"/>
        <v>0</v>
      </c>
      <c r="AF116" s="16">
        <f t="shared" si="11"/>
        <v>0</v>
      </c>
      <c r="AG116" s="16">
        <f t="shared" si="11"/>
        <v>0</v>
      </c>
      <c r="AH116" s="16">
        <f t="shared" si="11"/>
        <v>0</v>
      </c>
      <c r="AI116" s="16">
        <f t="shared" si="11"/>
        <v>0</v>
      </c>
      <c r="AJ116" s="16">
        <f t="shared" si="11"/>
        <v>0</v>
      </c>
      <c r="AK116" s="16">
        <f t="shared" si="11"/>
        <v>0</v>
      </c>
      <c r="AL116" s="16">
        <f t="shared" si="11"/>
        <v>0</v>
      </c>
      <c r="AM116" s="17">
        <f t="shared" si="11"/>
        <v>0</v>
      </c>
      <c r="AN116" s="16">
        <f t="shared" si="11"/>
        <v>0</v>
      </c>
      <c r="AO116" s="16">
        <f t="shared" si="11"/>
        <v>0</v>
      </c>
      <c r="AP116" s="17"/>
      <c r="AQ116" s="16">
        <f t="shared" ref="AQ116:AV116" si="12">countifs($C$2:$C$106,"V",AQ$2:AQ$106,"x")</f>
        <v>2</v>
      </c>
      <c r="AR116" s="17">
        <f t="shared" si="12"/>
        <v>0</v>
      </c>
      <c r="AS116" s="17">
        <f t="shared" si="12"/>
        <v>0</v>
      </c>
      <c r="AT116" s="16">
        <f t="shared" si="12"/>
        <v>2</v>
      </c>
      <c r="AU116" s="16">
        <f t="shared" si="12"/>
        <v>0</v>
      </c>
      <c r="AV116" s="16">
        <f t="shared" si="12"/>
        <v>0</v>
      </c>
      <c r="AW116" s="17"/>
      <c r="AX116" s="16">
        <f>countifs($C$2:$C$106,"V",AX$2:AX$106,"x")</f>
        <v>0</v>
      </c>
    </row>
    <row r="117">
      <c r="A117" s="155"/>
      <c r="B117" s="156" t="s">
        <v>99</v>
      </c>
      <c r="C117" s="16"/>
      <c r="D117" s="16">
        <f t="shared" ref="D117:AO117" si="13">D111+D112+D113+D114+D116</f>
        <v>40</v>
      </c>
      <c r="E117" s="16">
        <f t="shared" si="13"/>
        <v>37</v>
      </c>
      <c r="F117" s="16">
        <f t="shared" si="13"/>
        <v>33</v>
      </c>
      <c r="G117" s="16">
        <f t="shared" si="13"/>
        <v>35</v>
      </c>
      <c r="H117" s="16">
        <f t="shared" si="13"/>
        <v>33</v>
      </c>
      <c r="I117" s="16">
        <f t="shared" si="13"/>
        <v>42</v>
      </c>
      <c r="J117" s="16">
        <f t="shared" si="13"/>
        <v>31</v>
      </c>
      <c r="K117" s="16">
        <f t="shared" si="13"/>
        <v>27</v>
      </c>
      <c r="L117" s="16">
        <f t="shared" si="13"/>
        <v>25</v>
      </c>
      <c r="M117" s="16">
        <f t="shared" si="13"/>
        <v>32</v>
      </c>
      <c r="N117" s="16">
        <f t="shared" si="13"/>
        <v>23</v>
      </c>
      <c r="O117" s="16">
        <f t="shared" si="13"/>
        <v>30</v>
      </c>
      <c r="P117" s="16">
        <f t="shared" si="13"/>
        <v>23</v>
      </c>
      <c r="Q117" s="16">
        <f t="shared" si="13"/>
        <v>16</v>
      </c>
      <c r="R117" s="16">
        <f t="shared" si="13"/>
        <v>33</v>
      </c>
      <c r="S117" s="16">
        <f t="shared" si="13"/>
        <v>29</v>
      </c>
      <c r="T117" s="16">
        <f t="shared" si="13"/>
        <v>25</v>
      </c>
      <c r="U117" s="16">
        <f t="shared" si="13"/>
        <v>36</v>
      </c>
      <c r="V117" s="16">
        <f t="shared" si="13"/>
        <v>25</v>
      </c>
      <c r="W117" s="16">
        <f t="shared" si="13"/>
        <v>34</v>
      </c>
      <c r="X117" s="16">
        <f t="shared" si="13"/>
        <v>18</v>
      </c>
      <c r="Y117" s="16">
        <f t="shared" si="13"/>
        <v>40</v>
      </c>
      <c r="Z117" s="16">
        <f t="shared" si="13"/>
        <v>25</v>
      </c>
      <c r="AA117" s="16">
        <f t="shared" si="13"/>
        <v>32</v>
      </c>
      <c r="AB117" s="16">
        <f t="shared" si="13"/>
        <v>26</v>
      </c>
      <c r="AC117" s="16">
        <f t="shared" si="13"/>
        <v>21</v>
      </c>
      <c r="AD117" s="16">
        <f t="shared" si="13"/>
        <v>22</v>
      </c>
      <c r="AE117" s="16">
        <f t="shared" si="13"/>
        <v>14</v>
      </c>
      <c r="AF117" s="16">
        <f t="shared" si="13"/>
        <v>25</v>
      </c>
      <c r="AG117" s="16">
        <f t="shared" si="13"/>
        <v>0</v>
      </c>
      <c r="AH117" s="16">
        <f t="shared" si="13"/>
        <v>20</v>
      </c>
      <c r="AI117" s="16">
        <f t="shared" si="13"/>
        <v>16</v>
      </c>
      <c r="AJ117" s="16">
        <f t="shared" si="13"/>
        <v>33</v>
      </c>
      <c r="AK117" s="16">
        <f t="shared" si="13"/>
        <v>26</v>
      </c>
      <c r="AL117" s="16">
        <f t="shared" si="13"/>
        <v>0</v>
      </c>
      <c r="AM117" s="17">
        <f t="shared" si="13"/>
        <v>0</v>
      </c>
      <c r="AN117" s="16">
        <f t="shared" si="13"/>
        <v>29</v>
      </c>
      <c r="AO117" s="16">
        <f t="shared" si="13"/>
        <v>31</v>
      </c>
      <c r="AP117" s="17"/>
      <c r="AQ117" s="16">
        <f t="shared" ref="AQ117:AV117" si="14">AQ111+AQ112+AQ113+AQ114+AQ116</f>
        <v>27</v>
      </c>
      <c r="AR117" s="17">
        <f t="shared" si="14"/>
        <v>0</v>
      </c>
      <c r="AS117" s="17">
        <f t="shared" si="14"/>
        <v>0</v>
      </c>
      <c r="AT117" s="16">
        <f t="shared" si="14"/>
        <v>36</v>
      </c>
      <c r="AU117" s="16">
        <f t="shared" si="14"/>
        <v>29</v>
      </c>
      <c r="AV117" s="16">
        <f t="shared" si="14"/>
        <v>65</v>
      </c>
      <c r="AW117" s="17"/>
      <c r="AX117" s="16">
        <f>AX111+AX112+AX113+AX114+AX116</f>
        <v>14</v>
      </c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42"/>
      <c r="AN118" s="20"/>
      <c r="AO118" s="20"/>
      <c r="AP118" s="42"/>
      <c r="AQ118" s="20"/>
      <c r="AR118" s="42"/>
      <c r="AS118" s="42"/>
      <c r="AT118" s="20"/>
      <c r="AU118" s="20"/>
      <c r="AV118" s="20"/>
      <c r="AW118" s="42"/>
      <c r="AX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42"/>
      <c r="AN119" s="20"/>
      <c r="AO119" s="20"/>
      <c r="AP119" s="42"/>
      <c r="AQ119" s="20"/>
      <c r="AR119" s="42"/>
      <c r="AS119" s="42"/>
      <c r="AT119" s="20"/>
      <c r="AU119" s="20"/>
      <c r="AV119" s="20"/>
      <c r="AW119" s="42"/>
      <c r="AX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42"/>
      <c r="AN120" s="20"/>
      <c r="AO120" s="20"/>
      <c r="AP120" s="42"/>
      <c r="AQ120" s="20"/>
      <c r="AR120" s="42"/>
      <c r="AS120" s="42"/>
      <c r="AT120" s="20"/>
      <c r="AU120" s="20"/>
      <c r="AV120" s="20"/>
      <c r="AW120" s="42"/>
      <c r="AX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42"/>
      <c r="AN121" s="20"/>
      <c r="AO121" s="20"/>
      <c r="AP121" s="42"/>
      <c r="AQ121" s="20"/>
      <c r="AR121" s="42"/>
      <c r="AS121" s="42"/>
      <c r="AT121" s="20"/>
      <c r="AU121" s="20"/>
      <c r="AV121" s="20"/>
      <c r="AW121" s="42"/>
      <c r="AX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42"/>
      <c r="AN122" s="20"/>
      <c r="AO122" s="20"/>
      <c r="AP122" s="42"/>
      <c r="AQ122" s="20"/>
      <c r="AR122" s="42"/>
      <c r="AS122" s="42"/>
      <c r="AT122" s="20"/>
      <c r="AU122" s="20"/>
      <c r="AV122" s="20"/>
      <c r="AW122" s="42"/>
      <c r="AX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42"/>
      <c r="AN123" s="20"/>
      <c r="AO123" s="20"/>
      <c r="AP123" s="42"/>
      <c r="AQ123" s="20"/>
      <c r="AR123" s="42"/>
      <c r="AS123" s="42"/>
      <c r="AT123" s="20"/>
      <c r="AU123" s="20"/>
      <c r="AV123" s="20"/>
      <c r="AW123" s="42"/>
      <c r="AX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42"/>
      <c r="AN124" s="20"/>
      <c r="AO124" s="20"/>
      <c r="AP124" s="42"/>
      <c r="AQ124" s="20"/>
      <c r="AR124" s="42"/>
      <c r="AS124" s="42"/>
      <c r="AT124" s="20"/>
      <c r="AU124" s="20"/>
      <c r="AV124" s="20"/>
      <c r="AW124" s="42"/>
      <c r="AX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42"/>
      <c r="AN125" s="20"/>
      <c r="AO125" s="20"/>
      <c r="AP125" s="42"/>
      <c r="AQ125" s="20"/>
      <c r="AR125" s="42"/>
      <c r="AS125" s="42"/>
      <c r="AT125" s="20"/>
      <c r="AU125" s="20"/>
      <c r="AV125" s="20"/>
      <c r="AW125" s="42"/>
      <c r="AX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42"/>
      <c r="AN126" s="20"/>
      <c r="AO126" s="20"/>
      <c r="AP126" s="42"/>
      <c r="AQ126" s="20"/>
      <c r="AR126" s="42"/>
      <c r="AS126" s="42"/>
      <c r="AT126" s="20"/>
      <c r="AU126" s="20"/>
      <c r="AV126" s="20"/>
      <c r="AW126" s="42"/>
      <c r="AX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42"/>
      <c r="AN127" s="20"/>
      <c r="AO127" s="20"/>
      <c r="AP127" s="42"/>
      <c r="AQ127" s="20"/>
      <c r="AR127" s="42"/>
      <c r="AS127" s="42"/>
      <c r="AT127" s="20"/>
      <c r="AU127" s="20"/>
      <c r="AV127" s="20"/>
      <c r="AW127" s="42"/>
      <c r="AX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42"/>
      <c r="AN128" s="20"/>
      <c r="AO128" s="20"/>
      <c r="AP128" s="42"/>
      <c r="AQ128" s="20"/>
      <c r="AR128" s="42"/>
      <c r="AS128" s="42"/>
      <c r="AT128" s="20"/>
      <c r="AU128" s="20"/>
      <c r="AV128" s="20"/>
      <c r="AW128" s="42"/>
      <c r="AX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42"/>
      <c r="AN129" s="20"/>
      <c r="AO129" s="20"/>
      <c r="AP129" s="42"/>
      <c r="AQ129" s="20"/>
      <c r="AR129" s="42"/>
      <c r="AS129" s="42"/>
      <c r="AT129" s="20"/>
      <c r="AU129" s="20"/>
      <c r="AV129" s="20"/>
      <c r="AW129" s="42"/>
      <c r="AX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42"/>
      <c r="AN130" s="20"/>
      <c r="AO130" s="20"/>
      <c r="AP130" s="42"/>
      <c r="AQ130" s="20"/>
      <c r="AR130" s="42"/>
      <c r="AS130" s="42"/>
      <c r="AT130" s="20"/>
      <c r="AU130" s="20"/>
      <c r="AV130" s="20"/>
      <c r="AW130" s="42"/>
      <c r="AX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42"/>
      <c r="AN131" s="20"/>
      <c r="AO131" s="20"/>
      <c r="AP131" s="42"/>
      <c r="AQ131" s="20"/>
      <c r="AR131" s="42"/>
      <c r="AS131" s="42"/>
      <c r="AT131" s="20"/>
      <c r="AU131" s="20"/>
      <c r="AV131" s="20"/>
      <c r="AW131" s="42"/>
      <c r="AX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42"/>
      <c r="AN132" s="20"/>
      <c r="AO132" s="20"/>
      <c r="AP132" s="42"/>
      <c r="AQ132" s="20"/>
      <c r="AR132" s="42"/>
      <c r="AS132" s="42"/>
      <c r="AT132" s="20"/>
      <c r="AU132" s="20"/>
      <c r="AV132" s="20"/>
      <c r="AW132" s="42"/>
      <c r="AX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42"/>
      <c r="AN133" s="20"/>
      <c r="AO133" s="20"/>
      <c r="AP133" s="42"/>
      <c r="AQ133" s="20"/>
      <c r="AR133" s="42"/>
      <c r="AS133" s="42"/>
      <c r="AT133" s="20"/>
      <c r="AU133" s="20"/>
      <c r="AV133" s="20"/>
      <c r="AW133" s="42"/>
      <c r="AX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42"/>
      <c r="AN134" s="20"/>
      <c r="AO134" s="20"/>
      <c r="AP134" s="42"/>
      <c r="AQ134" s="20"/>
      <c r="AR134" s="42"/>
      <c r="AS134" s="42"/>
      <c r="AT134" s="20"/>
      <c r="AU134" s="20"/>
      <c r="AV134" s="20"/>
      <c r="AW134" s="42"/>
      <c r="AX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42"/>
      <c r="AN135" s="20"/>
      <c r="AO135" s="20"/>
      <c r="AP135" s="42"/>
      <c r="AQ135" s="20"/>
      <c r="AR135" s="42"/>
      <c r="AS135" s="42"/>
      <c r="AT135" s="20"/>
      <c r="AU135" s="20"/>
      <c r="AV135" s="20"/>
      <c r="AW135" s="42"/>
      <c r="AX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42"/>
      <c r="AN136" s="20"/>
      <c r="AO136" s="20"/>
      <c r="AP136" s="42"/>
      <c r="AQ136" s="20"/>
      <c r="AR136" s="42"/>
      <c r="AS136" s="42"/>
      <c r="AT136" s="20"/>
      <c r="AU136" s="20"/>
      <c r="AV136" s="20"/>
      <c r="AW136" s="42"/>
      <c r="AX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42"/>
      <c r="AN137" s="20"/>
      <c r="AO137" s="20"/>
      <c r="AP137" s="42"/>
      <c r="AQ137" s="20"/>
      <c r="AR137" s="42"/>
      <c r="AS137" s="42"/>
      <c r="AT137" s="20"/>
      <c r="AU137" s="20"/>
      <c r="AV137" s="20"/>
      <c r="AW137" s="42"/>
      <c r="AX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42"/>
      <c r="AN138" s="20"/>
      <c r="AO138" s="20"/>
      <c r="AP138" s="42"/>
      <c r="AQ138" s="20"/>
      <c r="AR138" s="42"/>
      <c r="AS138" s="42"/>
      <c r="AT138" s="20"/>
      <c r="AU138" s="20"/>
      <c r="AV138" s="20"/>
      <c r="AW138" s="42"/>
      <c r="AX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42"/>
      <c r="AN139" s="20"/>
      <c r="AO139" s="20"/>
      <c r="AP139" s="42"/>
      <c r="AQ139" s="20"/>
      <c r="AR139" s="42"/>
      <c r="AS139" s="42"/>
      <c r="AT139" s="20"/>
      <c r="AU139" s="20"/>
      <c r="AV139" s="20"/>
      <c r="AW139" s="42"/>
      <c r="AX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42"/>
      <c r="AN140" s="20"/>
      <c r="AO140" s="20"/>
      <c r="AP140" s="42"/>
      <c r="AQ140" s="20"/>
      <c r="AR140" s="42"/>
      <c r="AS140" s="42"/>
      <c r="AT140" s="20"/>
      <c r="AU140" s="20"/>
      <c r="AV140" s="20"/>
      <c r="AW140" s="42"/>
      <c r="AX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42"/>
      <c r="AN141" s="20"/>
      <c r="AO141" s="20"/>
      <c r="AP141" s="42"/>
      <c r="AQ141" s="20"/>
      <c r="AR141" s="42"/>
      <c r="AS141" s="42"/>
      <c r="AT141" s="20"/>
      <c r="AU141" s="20"/>
      <c r="AV141" s="20"/>
      <c r="AW141" s="42"/>
      <c r="AX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42"/>
      <c r="AN142" s="20"/>
      <c r="AO142" s="20"/>
      <c r="AP142" s="42"/>
      <c r="AQ142" s="20"/>
      <c r="AR142" s="42"/>
      <c r="AS142" s="42"/>
      <c r="AT142" s="20"/>
      <c r="AU142" s="20"/>
      <c r="AV142" s="20"/>
      <c r="AW142" s="42"/>
      <c r="AX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42"/>
      <c r="AN143" s="20"/>
      <c r="AO143" s="20"/>
      <c r="AP143" s="42"/>
      <c r="AQ143" s="20"/>
      <c r="AR143" s="42"/>
      <c r="AS143" s="42"/>
      <c r="AT143" s="20"/>
      <c r="AU143" s="20"/>
      <c r="AV143" s="20"/>
      <c r="AW143" s="42"/>
      <c r="AX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42"/>
      <c r="AN144" s="20"/>
      <c r="AO144" s="20"/>
      <c r="AP144" s="42"/>
      <c r="AQ144" s="20"/>
      <c r="AR144" s="42"/>
      <c r="AS144" s="42"/>
      <c r="AT144" s="20"/>
      <c r="AU144" s="20"/>
      <c r="AV144" s="20"/>
      <c r="AW144" s="42"/>
      <c r="AX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42"/>
      <c r="AN145" s="20"/>
      <c r="AO145" s="20"/>
      <c r="AP145" s="42"/>
      <c r="AQ145" s="20"/>
      <c r="AR145" s="42"/>
      <c r="AS145" s="42"/>
      <c r="AT145" s="20"/>
      <c r="AU145" s="20"/>
      <c r="AV145" s="20"/>
      <c r="AW145" s="42"/>
      <c r="AX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42"/>
      <c r="AN146" s="20"/>
      <c r="AO146" s="20"/>
      <c r="AP146" s="42"/>
      <c r="AQ146" s="20"/>
      <c r="AR146" s="42"/>
      <c r="AS146" s="42"/>
      <c r="AT146" s="20"/>
      <c r="AU146" s="20"/>
      <c r="AV146" s="20"/>
      <c r="AW146" s="42"/>
      <c r="AX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42"/>
      <c r="AN147" s="20"/>
      <c r="AO147" s="20"/>
      <c r="AP147" s="42"/>
      <c r="AQ147" s="20"/>
      <c r="AR147" s="42"/>
      <c r="AS147" s="42"/>
      <c r="AT147" s="20"/>
      <c r="AU147" s="20"/>
      <c r="AV147" s="20"/>
      <c r="AW147" s="42"/>
      <c r="AX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42"/>
      <c r="AN148" s="20"/>
      <c r="AO148" s="20"/>
      <c r="AP148" s="42"/>
      <c r="AQ148" s="20"/>
      <c r="AR148" s="42"/>
      <c r="AS148" s="42"/>
      <c r="AT148" s="20"/>
      <c r="AU148" s="20"/>
      <c r="AV148" s="20"/>
      <c r="AW148" s="42"/>
      <c r="AX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42"/>
      <c r="AN149" s="20"/>
      <c r="AO149" s="20"/>
      <c r="AP149" s="42"/>
      <c r="AQ149" s="20"/>
      <c r="AR149" s="42"/>
      <c r="AS149" s="42"/>
      <c r="AT149" s="20"/>
      <c r="AU149" s="20"/>
      <c r="AV149" s="20"/>
      <c r="AW149" s="42"/>
      <c r="AX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42"/>
      <c r="AN150" s="20"/>
      <c r="AO150" s="20"/>
      <c r="AP150" s="42"/>
      <c r="AQ150" s="20"/>
      <c r="AR150" s="42"/>
      <c r="AS150" s="42"/>
      <c r="AT150" s="20"/>
      <c r="AU150" s="20"/>
      <c r="AV150" s="20"/>
      <c r="AW150" s="42"/>
      <c r="AX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42"/>
      <c r="AN151" s="20"/>
      <c r="AO151" s="20"/>
      <c r="AP151" s="42"/>
      <c r="AQ151" s="20"/>
      <c r="AR151" s="42"/>
      <c r="AS151" s="42"/>
      <c r="AT151" s="20"/>
      <c r="AU151" s="20"/>
      <c r="AV151" s="20"/>
      <c r="AW151" s="42"/>
      <c r="AX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42"/>
      <c r="AN152" s="20"/>
      <c r="AO152" s="20"/>
      <c r="AP152" s="42"/>
      <c r="AQ152" s="20"/>
      <c r="AR152" s="42"/>
      <c r="AS152" s="42"/>
      <c r="AT152" s="20"/>
      <c r="AU152" s="20"/>
      <c r="AV152" s="20"/>
      <c r="AW152" s="42"/>
      <c r="AX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42"/>
      <c r="AN153" s="20"/>
      <c r="AO153" s="20"/>
      <c r="AP153" s="42"/>
      <c r="AQ153" s="20"/>
      <c r="AR153" s="42"/>
      <c r="AS153" s="42"/>
      <c r="AT153" s="20"/>
      <c r="AU153" s="20"/>
      <c r="AV153" s="20"/>
      <c r="AW153" s="42"/>
      <c r="AX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42"/>
      <c r="AN154" s="20"/>
      <c r="AO154" s="20"/>
      <c r="AP154" s="42"/>
      <c r="AQ154" s="20"/>
      <c r="AR154" s="42"/>
      <c r="AS154" s="42"/>
      <c r="AT154" s="20"/>
      <c r="AU154" s="20"/>
      <c r="AV154" s="20"/>
      <c r="AW154" s="42"/>
      <c r="AX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42"/>
      <c r="AN155" s="20"/>
      <c r="AO155" s="20"/>
      <c r="AP155" s="42"/>
      <c r="AQ155" s="20"/>
      <c r="AR155" s="42"/>
      <c r="AS155" s="42"/>
      <c r="AT155" s="20"/>
      <c r="AU155" s="20"/>
      <c r="AV155" s="20"/>
      <c r="AW155" s="42"/>
      <c r="AX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42"/>
      <c r="AN156" s="20"/>
      <c r="AO156" s="20"/>
      <c r="AP156" s="42"/>
      <c r="AQ156" s="20"/>
      <c r="AR156" s="42"/>
      <c r="AS156" s="42"/>
      <c r="AT156" s="20"/>
      <c r="AU156" s="20"/>
      <c r="AV156" s="20"/>
      <c r="AW156" s="42"/>
      <c r="AX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42"/>
      <c r="AN157" s="20"/>
      <c r="AO157" s="20"/>
      <c r="AP157" s="42"/>
      <c r="AQ157" s="20"/>
      <c r="AR157" s="42"/>
      <c r="AS157" s="42"/>
      <c r="AT157" s="20"/>
      <c r="AU157" s="20"/>
      <c r="AV157" s="20"/>
      <c r="AW157" s="42"/>
      <c r="AX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42"/>
      <c r="AN158" s="20"/>
      <c r="AO158" s="20"/>
      <c r="AP158" s="42"/>
      <c r="AQ158" s="20"/>
      <c r="AR158" s="42"/>
      <c r="AS158" s="42"/>
      <c r="AT158" s="20"/>
      <c r="AU158" s="20"/>
      <c r="AV158" s="20"/>
      <c r="AW158" s="42"/>
      <c r="AX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42"/>
      <c r="AN159" s="20"/>
      <c r="AO159" s="20"/>
      <c r="AP159" s="42"/>
      <c r="AQ159" s="20"/>
      <c r="AR159" s="42"/>
      <c r="AS159" s="42"/>
      <c r="AT159" s="20"/>
      <c r="AU159" s="20"/>
      <c r="AV159" s="20"/>
      <c r="AW159" s="42"/>
      <c r="AX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42"/>
      <c r="AN160" s="20"/>
      <c r="AO160" s="20"/>
      <c r="AP160" s="42"/>
      <c r="AQ160" s="20"/>
      <c r="AR160" s="42"/>
      <c r="AS160" s="42"/>
      <c r="AT160" s="20"/>
      <c r="AU160" s="20"/>
      <c r="AV160" s="20"/>
      <c r="AW160" s="42"/>
      <c r="AX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42"/>
      <c r="AN161" s="20"/>
      <c r="AO161" s="20"/>
      <c r="AP161" s="42"/>
      <c r="AQ161" s="20"/>
      <c r="AR161" s="42"/>
      <c r="AS161" s="42"/>
      <c r="AT161" s="20"/>
      <c r="AU161" s="20"/>
      <c r="AV161" s="20"/>
      <c r="AW161" s="42"/>
      <c r="AX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42"/>
      <c r="AN162" s="20"/>
      <c r="AO162" s="20"/>
      <c r="AP162" s="42"/>
      <c r="AQ162" s="20"/>
      <c r="AR162" s="42"/>
      <c r="AS162" s="42"/>
      <c r="AT162" s="20"/>
      <c r="AU162" s="20"/>
      <c r="AV162" s="20"/>
      <c r="AW162" s="42"/>
      <c r="AX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42"/>
      <c r="AN163" s="20"/>
      <c r="AO163" s="20"/>
      <c r="AP163" s="42"/>
      <c r="AQ163" s="20"/>
      <c r="AR163" s="42"/>
      <c r="AS163" s="42"/>
      <c r="AT163" s="20"/>
      <c r="AU163" s="20"/>
      <c r="AV163" s="20"/>
      <c r="AW163" s="42"/>
      <c r="AX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42"/>
      <c r="AN164" s="20"/>
      <c r="AO164" s="20"/>
      <c r="AP164" s="42"/>
      <c r="AQ164" s="20"/>
      <c r="AR164" s="42"/>
      <c r="AS164" s="42"/>
      <c r="AT164" s="20"/>
      <c r="AU164" s="20"/>
      <c r="AV164" s="20"/>
      <c r="AW164" s="42"/>
      <c r="AX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42"/>
      <c r="AN165" s="20"/>
      <c r="AO165" s="20"/>
      <c r="AP165" s="42"/>
      <c r="AQ165" s="20"/>
      <c r="AR165" s="42"/>
      <c r="AS165" s="42"/>
      <c r="AT165" s="20"/>
      <c r="AU165" s="20"/>
      <c r="AV165" s="20"/>
      <c r="AW165" s="42"/>
      <c r="AX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42"/>
      <c r="AN166" s="20"/>
      <c r="AO166" s="20"/>
      <c r="AP166" s="42"/>
      <c r="AQ166" s="20"/>
      <c r="AR166" s="42"/>
      <c r="AS166" s="42"/>
      <c r="AT166" s="20"/>
      <c r="AU166" s="20"/>
      <c r="AV166" s="20"/>
      <c r="AW166" s="42"/>
      <c r="AX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42"/>
      <c r="AN167" s="20"/>
      <c r="AO167" s="20"/>
      <c r="AP167" s="42"/>
      <c r="AQ167" s="20"/>
      <c r="AR167" s="42"/>
      <c r="AS167" s="42"/>
      <c r="AT167" s="20"/>
      <c r="AU167" s="20"/>
      <c r="AV167" s="20"/>
      <c r="AW167" s="42"/>
      <c r="AX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42"/>
      <c r="AN168" s="20"/>
      <c r="AO168" s="20"/>
      <c r="AP168" s="42"/>
      <c r="AQ168" s="20"/>
      <c r="AR168" s="42"/>
      <c r="AS168" s="42"/>
      <c r="AT168" s="20"/>
      <c r="AU168" s="20"/>
      <c r="AV168" s="20"/>
      <c r="AW168" s="42"/>
      <c r="AX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42"/>
      <c r="AN169" s="20"/>
      <c r="AO169" s="20"/>
      <c r="AP169" s="42"/>
      <c r="AQ169" s="20"/>
      <c r="AR169" s="42"/>
      <c r="AS169" s="42"/>
      <c r="AT169" s="20"/>
      <c r="AU169" s="20"/>
      <c r="AV169" s="20"/>
      <c r="AW169" s="42"/>
      <c r="AX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42"/>
      <c r="AN170" s="20"/>
      <c r="AO170" s="20"/>
      <c r="AP170" s="42"/>
      <c r="AQ170" s="20"/>
      <c r="AR170" s="42"/>
      <c r="AS170" s="42"/>
      <c r="AT170" s="20"/>
      <c r="AU170" s="20"/>
      <c r="AV170" s="20"/>
      <c r="AW170" s="42"/>
      <c r="AX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42"/>
      <c r="AN171" s="20"/>
      <c r="AO171" s="20"/>
      <c r="AP171" s="42"/>
      <c r="AQ171" s="20"/>
      <c r="AR171" s="42"/>
      <c r="AS171" s="42"/>
      <c r="AT171" s="20"/>
      <c r="AU171" s="20"/>
      <c r="AV171" s="20"/>
      <c r="AW171" s="42"/>
      <c r="AX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42"/>
      <c r="AN172" s="20"/>
      <c r="AO172" s="20"/>
      <c r="AP172" s="42"/>
      <c r="AQ172" s="20"/>
      <c r="AR172" s="42"/>
      <c r="AS172" s="42"/>
      <c r="AT172" s="20"/>
      <c r="AU172" s="20"/>
      <c r="AV172" s="20"/>
      <c r="AW172" s="42"/>
      <c r="AX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42"/>
      <c r="AN173" s="20"/>
      <c r="AO173" s="20"/>
      <c r="AP173" s="42"/>
      <c r="AQ173" s="20"/>
      <c r="AR173" s="42"/>
      <c r="AS173" s="42"/>
      <c r="AT173" s="20"/>
      <c r="AU173" s="20"/>
      <c r="AV173" s="20"/>
      <c r="AW173" s="42"/>
      <c r="AX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42"/>
      <c r="AN174" s="20"/>
      <c r="AO174" s="20"/>
      <c r="AP174" s="42"/>
      <c r="AQ174" s="20"/>
      <c r="AR174" s="42"/>
      <c r="AS174" s="42"/>
      <c r="AT174" s="20"/>
      <c r="AU174" s="20"/>
      <c r="AV174" s="20"/>
      <c r="AW174" s="42"/>
      <c r="AX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42"/>
      <c r="AN175" s="20"/>
      <c r="AO175" s="20"/>
      <c r="AP175" s="42"/>
      <c r="AQ175" s="20"/>
      <c r="AR175" s="42"/>
      <c r="AS175" s="42"/>
      <c r="AT175" s="20"/>
      <c r="AU175" s="20"/>
      <c r="AV175" s="20"/>
      <c r="AW175" s="42"/>
      <c r="AX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42"/>
      <c r="AN176" s="20"/>
      <c r="AO176" s="20"/>
      <c r="AP176" s="42"/>
      <c r="AQ176" s="20"/>
      <c r="AR176" s="42"/>
      <c r="AS176" s="42"/>
      <c r="AT176" s="20"/>
      <c r="AU176" s="20"/>
      <c r="AV176" s="20"/>
      <c r="AW176" s="42"/>
      <c r="AX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42"/>
      <c r="AN177" s="20"/>
      <c r="AO177" s="20"/>
      <c r="AP177" s="42"/>
      <c r="AQ177" s="20"/>
      <c r="AR177" s="42"/>
      <c r="AS177" s="42"/>
      <c r="AT177" s="20"/>
      <c r="AU177" s="20"/>
      <c r="AV177" s="20"/>
      <c r="AW177" s="42"/>
      <c r="AX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42"/>
      <c r="AN178" s="20"/>
      <c r="AO178" s="20"/>
      <c r="AP178" s="42"/>
      <c r="AQ178" s="20"/>
      <c r="AR178" s="42"/>
      <c r="AS178" s="42"/>
      <c r="AT178" s="20"/>
      <c r="AU178" s="20"/>
      <c r="AV178" s="20"/>
      <c r="AW178" s="42"/>
      <c r="AX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42"/>
      <c r="AN179" s="20"/>
      <c r="AO179" s="20"/>
      <c r="AP179" s="42"/>
      <c r="AQ179" s="20"/>
      <c r="AR179" s="42"/>
      <c r="AS179" s="42"/>
      <c r="AT179" s="20"/>
      <c r="AU179" s="20"/>
      <c r="AV179" s="20"/>
      <c r="AW179" s="42"/>
      <c r="AX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42"/>
      <c r="AN180" s="20"/>
      <c r="AO180" s="20"/>
      <c r="AP180" s="42"/>
      <c r="AQ180" s="20"/>
      <c r="AR180" s="42"/>
      <c r="AS180" s="42"/>
      <c r="AT180" s="20"/>
      <c r="AU180" s="20"/>
      <c r="AV180" s="20"/>
      <c r="AW180" s="42"/>
      <c r="AX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42"/>
      <c r="AN181" s="20"/>
      <c r="AO181" s="20"/>
      <c r="AP181" s="42"/>
      <c r="AQ181" s="20"/>
      <c r="AR181" s="42"/>
      <c r="AS181" s="42"/>
      <c r="AT181" s="20"/>
      <c r="AU181" s="20"/>
      <c r="AV181" s="20"/>
      <c r="AW181" s="42"/>
      <c r="AX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42"/>
      <c r="AN182" s="20"/>
      <c r="AO182" s="20"/>
      <c r="AP182" s="42"/>
      <c r="AQ182" s="20"/>
      <c r="AR182" s="42"/>
      <c r="AS182" s="42"/>
      <c r="AT182" s="20"/>
      <c r="AU182" s="20"/>
      <c r="AV182" s="20"/>
      <c r="AW182" s="42"/>
      <c r="AX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42"/>
      <c r="AN183" s="20"/>
      <c r="AO183" s="20"/>
      <c r="AP183" s="42"/>
      <c r="AQ183" s="20"/>
      <c r="AR183" s="42"/>
      <c r="AS183" s="42"/>
      <c r="AT183" s="20"/>
      <c r="AU183" s="20"/>
      <c r="AV183" s="20"/>
      <c r="AW183" s="42"/>
      <c r="AX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42"/>
      <c r="AN184" s="20"/>
      <c r="AO184" s="20"/>
      <c r="AP184" s="42"/>
      <c r="AQ184" s="20"/>
      <c r="AR184" s="42"/>
      <c r="AS184" s="42"/>
      <c r="AT184" s="20"/>
      <c r="AU184" s="20"/>
      <c r="AV184" s="20"/>
      <c r="AW184" s="42"/>
      <c r="AX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42"/>
      <c r="AN185" s="20"/>
      <c r="AO185" s="20"/>
      <c r="AP185" s="42"/>
      <c r="AQ185" s="20"/>
      <c r="AR185" s="42"/>
      <c r="AS185" s="42"/>
      <c r="AT185" s="20"/>
      <c r="AU185" s="20"/>
      <c r="AV185" s="20"/>
      <c r="AW185" s="42"/>
      <c r="AX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42"/>
      <c r="AN186" s="20"/>
      <c r="AO186" s="20"/>
      <c r="AP186" s="42"/>
      <c r="AQ186" s="20"/>
      <c r="AR186" s="42"/>
      <c r="AS186" s="42"/>
      <c r="AT186" s="20"/>
      <c r="AU186" s="20"/>
      <c r="AV186" s="20"/>
      <c r="AW186" s="42"/>
      <c r="AX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42"/>
      <c r="AN187" s="20"/>
      <c r="AO187" s="20"/>
      <c r="AP187" s="42"/>
      <c r="AQ187" s="20"/>
      <c r="AR187" s="42"/>
      <c r="AS187" s="42"/>
      <c r="AT187" s="20"/>
      <c r="AU187" s="20"/>
      <c r="AV187" s="20"/>
      <c r="AW187" s="42"/>
      <c r="AX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42"/>
      <c r="AN188" s="20"/>
      <c r="AO188" s="20"/>
      <c r="AP188" s="42"/>
      <c r="AQ188" s="20"/>
      <c r="AR188" s="42"/>
      <c r="AS188" s="42"/>
      <c r="AT188" s="20"/>
      <c r="AU188" s="20"/>
      <c r="AV188" s="20"/>
      <c r="AW188" s="42"/>
      <c r="AX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42"/>
      <c r="AN189" s="20"/>
      <c r="AO189" s="20"/>
      <c r="AP189" s="42"/>
      <c r="AQ189" s="20"/>
      <c r="AR189" s="42"/>
      <c r="AS189" s="42"/>
      <c r="AT189" s="20"/>
      <c r="AU189" s="20"/>
      <c r="AV189" s="20"/>
      <c r="AW189" s="42"/>
      <c r="AX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42"/>
      <c r="AN190" s="20"/>
      <c r="AO190" s="20"/>
      <c r="AP190" s="42"/>
      <c r="AQ190" s="20"/>
      <c r="AR190" s="42"/>
      <c r="AS190" s="42"/>
      <c r="AT190" s="20"/>
      <c r="AU190" s="20"/>
      <c r="AV190" s="20"/>
      <c r="AW190" s="42"/>
      <c r="AX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42"/>
      <c r="AN191" s="20"/>
      <c r="AO191" s="20"/>
      <c r="AP191" s="42"/>
      <c r="AQ191" s="20"/>
      <c r="AR191" s="42"/>
      <c r="AS191" s="42"/>
      <c r="AT191" s="20"/>
      <c r="AU191" s="20"/>
      <c r="AV191" s="20"/>
      <c r="AW191" s="42"/>
      <c r="AX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42"/>
      <c r="AN192" s="20"/>
      <c r="AO192" s="20"/>
      <c r="AP192" s="42"/>
      <c r="AQ192" s="20"/>
      <c r="AR192" s="42"/>
      <c r="AS192" s="42"/>
      <c r="AT192" s="20"/>
      <c r="AU192" s="20"/>
      <c r="AV192" s="20"/>
      <c r="AW192" s="42"/>
      <c r="AX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42"/>
      <c r="AN193" s="20"/>
      <c r="AO193" s="20"/>
      <c r="AP193" s="42"/>
      <c r="AQ193" s="20"/>
      <c r="AR193" s="42"/>
      <c r="AS193" s="42"/>
      <c r="AT193" s="20"/>
      <c r="AU193" s="20"/>
      <c r="AV193" s="20"/>
      <c r="AW193" s="42"/>
      <c r="AX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42"/>
      <c r="AN194" s="20"/>
      <c r="AO194" s="20"/>
      <c r="AP194" s="42"/>
      <c r="AQ194" s="20"/>
      <c r="AR194" s="42"/>
      <c r="AS194" s="42"/>
      <c r="AT194" s="20"/>
      <c r="AU194" s="20"/>
      <c r="AV194" s="20"/>
      <c r="AW194" s="42"/>
      <c r="AX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42"/>
      <c r="AN195" s="20"/>
      <c r="AO195" s="20"/>
      <c r="AP195" s="42"/>
      <c r="AQ195" s="20"/>
      <c r="AR195" s="42"/>
      <c r="AS195" s="42"/>
      <c r="AT195" s="20"/>
      <c r="AU195" s="20"/>
      <c r="AV195" s="20"/>
      <c r="AW195" s="42"/>
      <c r="AX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42"/>
      <c r="AN196" s="20"/>
      <c r="AO196" s="20"/>
      <c r="AP196" s="42"/>
      <c r="AQ196" s="20"/>
      <c r="AR196" s="42"/>
      <c r="AS196" s="42"/>
      <c r="AT196" s="20"/>
      <c r="AU196" s="20"/>
      <c r="AV196" s="20"/>
      <c r="AW196" s="42"/>
      <c r="AX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42"/>
      <c r="AN197" s="20"/>
      <c r="AO197" s="20"/>
      <c r="AP197" s="42"/>
      <c r="AQ197" s="20"/>
      <c r="AR197" s="42"/>
      <c r="AS197" s="42"/>
      <c r="AT197" s="20"/>
      <c r="AU197" s="20"/>
      <c r="AV197" s="20"/>
      <c r="AW197" s="42"/>
      <c r="AX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42"/>
      <c r="AN198" s="20"/>
      <c r="AO198" s="20"/>
      <c r="AP198" s="42"/>
      <c r="AQ198" s="20"/>
      <c r="AR198" s="42"/>
      <c r="AS198" s="42"/>
      <c r="AT198" s="20"/>
      <c r="AU198" s="20"/>
      <c r="AV198" s="20"/>
      <c r="AW198" s="42"/>
      <c r="AX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42"/>
      <c r="AN199" s="20"/>
      <c r="AO199" s="20"/>
      <c r="AP199" s="42"/>
      <c r="AQ199" s="20"/>
      <c r="AR199" s="42"/>
      <c r="AS199" s="42"/>
      <c r="AT199" s="20"/>
      <c r="AU199" s="20"/>
      <c r="AV199" s="20"/>
      <c r="AW199" s="42"/>
      <c r="AX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42"/>
      <c r="AN200" s="20"/>
      <c r="AO200" s="20"/>
      <c r="AP200" s="42"/>
      <c r="AQ200" s="20"/>
      <c r="AR200" s="42"/>
      <c r="AS200" s="42"/>
      <c r="AT200" s="20"/>
      <c r="AU200" s="20"/>
      <c r="AV200" s="20"/>
      <c r="AW200" s="42"/>
      <c r="AX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42"/>
      <c r="AN201" s="20"/>
      <c r="AO201" s="20"/>
      <c r="AP201" s="42"/>
      <c r="AQ201" s="20"/>
      <c r="AR201" s="42"/>
      <c r="AS201" s="42"/>
      <c r="AT201" s="20"/>
      <c r="AU201" s="20"/>
      <c r="AV201" s="20"/>
      <c r="AW201" s="42"/>
      <c r="AX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42"/>
      <c r="AN202" s="20"/>
      <c r="AO202" s="20"/>
      <c r="AP202" s="42"/>
      <c r="AQ202" s="20"/>
      <c r="AR202" s="42"/>
      <c r="AS202" s="42"/>
      <c r="AT202" s="20"/>
      <c r="AU202" s="20"/>
      <c r="AV202" s="20"/>
      <c r="AW202" s="42"/>
      <c r="AX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42"/>
      <c r="AN203" s="20"/>
      <c r="AO203" s="20"/>
      <c r="AP203" s="42"/>
      <c r="AQ203" s="20"/>
      <c r="AR203" s="42"/>
      <c r="AS203" s="42"/>
      <c r="AT203" s="20"/>
      <c r="AU203" s="20"/>
      <c r="AV203" s="20"/>
      <c r="AW203" s="42"/>
      <c r="AX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42"/>
      <c r="AN204" s="20"/>
      <c r="AO204" s="20"/>
      <c r="AP204" s="42"/>
      <c r="AQ204" s="20"/>
      <c r="AR204" s="42"/>
      <c r="AS204" s="42"/>
      <c r="AT204" s="20"/>
      <c r="AU204" s="20"/>
      <c r="AV204" s="20"/>
      <c r="AW204" s="42"/>
      <c r="AX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42"/>
      <c r="AN205" s="20"/>
      <c r="AO205" s="20"/>
      <c r="AP205" s="42"/>
      <c r="AQ205" s="20"/>
      <c r="AR205" s="42"/>
      <c r="AS205" s="42"/>
      <c r="AT205" s="20"/>
      <c r="AU205" s="20"/>
      <c r="AV205" s="20"/>
      <c r="AW205" s="42"/>
      <c r="AX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42"/>
      <c r="AN206" s="20"/>
      <c r="AO206" s="20"/>
      <c r="AP206" s="42"/>
      <c r="AQ206" s="20"/>
      <c r="AR206" s="42"/>
      <c r="AS206" s="42"/>
      <c r="AT206" s="20"/>
      <c r="AU206" s="20"/>
      <c r="AV206" s="20"/>
      <c r="AW206" s="42"/>
      <c r="AX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42"/>
      <c r="AN207" s="20"/>
      <c r="AO207" s="20"/>
      <c r="AP207" s="42"/>
      <c r="AQ207" s="20"/>
      <c r="AR207" s="42"/>
      <c r="AS207" s="42"/>
      <c r="AT207" s="20"/>
      <c r="AU207" s="20"/>
      <c r="AV207" s="20"/>
      <c r="AW207" s="42"/>
      <c r="AX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42"/>
      <c r="AN208" s="20"/>
      <c r="AO208" s="20"/>
      <c r="AP208" s="42"/>
      <c r="AQ208" s="20"/>
      <c r="AR208" s="42"/>
      <c r="AS208" s="42"/>
      <c r="AT208" s="20"/>
      <c r="AU208" s="20"/>
      <c r="AV208" s="20"/>
      <c r="AW208" s="42"/>
      <c r="AX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42"/>
      <c r="AN209" s="20"/>
      <c r="AO209" s="20"/>
      <c r="AP209" s="42"/>
      <c r="AQ209" s="20"/>
      <c r="AR209" s="42"/>
      <c r="AS209" s="42"/>
      <c r="AT209" s="20"/>
      <c r="AU209" s="20"/>
      <c r="AV209" s="20"/>
      <c r="AW209" s="42"/>
      <c r="AX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42"/>
      <c r="AN210" s="20"/>
      <c r="AO210" s="20"/>
      <c r="AP210" s="42"/>
      <c r="AQ210" s="20"/>
      <c r="AR210" s="42"/>
      <c r="AS210" s="42"/>
      <c r="AT210" s="20"/>
      <c r="AU210" s="20"/>
      <c r="AV210" s="20"/>
      <c r="AW210" s="42"/>
      <c r="AX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42"/>
      <c r="AN211" s="20"/>
      <c r="AO211" s="20"/>
      <c r="AP211" s="42"/>
      <c r="AQ211" s="20"/>
      <c r="AR211" s="42"/>
      <c r="AS211" s="42"/>
      <c r="AT211" s="20"/>
      <c r="AU211" s="20"/>
      <c r="AV211" s="20"/>
      <c r="AW211" s="42"/>
      <c r="AX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42"/>
      <c r="AN212" s="20"/>
      <c r="AO212" s="20"/>
      <c r="AP212" s="42"/>
      <c r="AQ212" s="20"/>
      <c r="AR212" s="42"/>
      <c r="AS212" s="42"/>
      <c r="AT212" s="20"/>
      <c r="AU212" s="20"/>
      <c r="AV212" s="20"/>
      <c r="AW212" s="42"/>
      <c r="AX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42"/>
      <c r="AN213" s="20"/>
      <c r="AO213" s="20"/>
      <c r="AP213" s="42"/>
      <c r="AQ213" s="20"/>
      <c r="AR213" s="42"/>
      <c r="AS213" s="42"/>
      <c r="AT213" s="20"/>
      <c r="AU213" s="20"/>
      <c r="AV213" s="20"/>
      <c r="AW213" s="42"/>
      <c r="AX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42"/>
      <c r="AN214" s="20"/>
      <c r="AO214" s="20"/>
      <c r="AP214" s="42"/>
      <c r="AQ214" s="20"/>
      <c r="AR214" s="42"/>
      <c r="AS214" s="42"/>
      <c r="AT214" s="20"/>
      <c r="AU214" s="20"/>
      <c r="AV214" s="20"/>
      <c r="AW214" s="42"/>
      <c r="AX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42"/>
      <c r="AN215" s="20"/>
      <c r="AO215" s="20"/>
      <c r="AP215" s="42"/>
      <c r="AQ215" s="20"/>
      <c r="AR215" s="42"/>
      <c r="AS215" s="42"/>
      <c r="AT215" s="20"/>
      <c r="AU215" s="20"/>
      <c r="AV215" s="20"/>
      <c r="AW215" s="42"/>
      <c r="AX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42"/>
      <c r="AN216" s="20"/>
      <c r="AO216" s="20"/>
      <c r="AP216" s="42"/>
      <c r="AQ216" s="20"/>
      <c r="AR216" s="42"/>
      <c r="AS216" s="42"/>
      <c r="AT216" s="20"/>
      <c r="AU216" s="20"/>
      <c r="AV216" s="20"/>
      <c r="AW216" s="42"/>
      <c r="AX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42"/>
      <c r="AN217" s="20"/>
      <c r="AO217" s="20"/>
      <c r="AP217" s="42"/>
      <c r="AQ217" s="20"/>
      <c r="AR217" s="42"/>
      <c r="AS217" s="42"/>
      <c r="AT217" s="20"/>
      <c r="AU217" s="20"/>
      <c r="AV217" s="20"/>
      <c r="AW217" s="42"/>
      <c r="AX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42"/>
      <c r="AN218" s="20"/>
      <c r="AO218" s="20"/>
      <c r="AP218" s="42"/>
      <c r="AQ218" s="20"/>
      <c r="AR218" s="42"/>
      <c r="AS218" s="42"/>
      <c r="AT218" s="20"/>
      <c r="AU218" s="20"/>
      <c r="AV218" s="20"/>
      <c r="AW218" s="42"/>
      <c r="AX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42"/>
      <c r="AN219" s="20"/>
      <c r="AO219" s="20"/>
      <c r="AP219" s="42"/>
      <c r="AQ219" s="20"/>
      <c r="AR219" s="42"/>
      <c r="AS219" s="42"/>
      <c r="AT219" s="20"/>
      <c r="AU219" s="20"/>
      <c r="AV219" s="20"/>
      <c r="AW219" s="42"/>
      <c r="AX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42"/>
      <c r="AN220" s="20"/>
      <c r="AO220" s="20"/>
      <c r="AP220" s="42"/>
      <c r="AQ220" s="20"/>
      <c r="AR220" s="42"/>
      <c r="AS220" s="42"/>
      <c r="AT220" s="20"/>
      <c r="AU220" s="20"/>
      <c r="AV220" s="20"/>
      <c r="AW220" s="42"/>
      <c r="AX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42"/>
      <c r="AN221" s="20"/>
      <c r="AO221" s="20"/>
      <c r="AP221" s="42"/>
      <c r="AQ221" s="20"/>
      <c r="AR221" s="42"/>
      <c r="AS221" s="42"/>
      <c r="AT221" s="20"/>
      <c r="AU221" s="20"/>
      <c r="AV221" s="20"/>
      <c r="AW221" s="42"/>
      <c r="AX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42"/>
      <c r="AN222" s="20"/>
      <c r="AO222" s="20"/>
      <c r="AP222" s="42"/>
      <c r="AQ222" s="20"/>
      <c r="AR222" s="42"/>
      <c r="AS222" s="42"/>
      <c r="AT222" s="20"/>
      <c r="AU222" s="20"/>
      <c r="AV222" s="20"/>
      <c r="AW222" s="42"/>
      <c r="AX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42"/>
      <c r="AN223" s="20"/>
      <c r="AO223" s="20"/>
      <c r="AP223" s="42"/>
      <c r="AQ223" s="20"/>
      <c r="AR223" s="42"/>
      <c r="AS223" s="42"/>
      <c r="AT223" s="20"/>
      <c r="AU223" s="20"/>
      <c r="AV223" s="20"/>
      <c r="AW223" s="42"/>
      <c r="AX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42"/>
      <c r="AN224" s="20"/>
      <c r="AO224" s="20"/>
      <c r="AP224" s="42"/>
      <c r="AQ224" s="20"/>
      <c r="AR224" s="42"/>
      <c r="AS224" s="42"/>
      <c r="AT224" s="20"/>
      <c r="AU224" s="20"/>
      <c r="AV224" s="20"/>
      <c r="AW224" s="42"/>
      <c r="AX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42"/>
      <c r="AN225" s="20"/>
      <c r="AO225" s="20"/>
      <c r="AP225" s="42"/>
      <c r="AQ225" s="20"/>
      <c r="AR225" s="42"/>
      <c r="AS225" s="42"/>
      <c r="AT225" s="20"/>
      <c r="AU225" s="20"/>
      <c r="AV225" s="20"/>
      <c r="AW225" s="42"/>
      <c r="AX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42"/>
      <c r="AN226" s="20"/>
      <c r="AO226" s="20"/>
      <c r="AP226" s="42"/>
      <c r="AQ226" s="20"/>
      <c r="AR226" s="42"/>
      <c r="AS226" s="42"/>
      <c r="AT226" s="20"/>
      <c r="AU226" s="20"/>
      <c r="AV226" s="20"/>
      <c r="AW226" s="42"/>
      <c r="AX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42"/>
      <c r="AN227" s="20"/>
      <c r="AO227" s="20"/>
      <c r="AP227" s="42"/>
      <c r="AQ227" s="20"/>
      <c r="AR227" s="42"/>
      <c r="AS227" s="42"/>
      <c r="AT227" s="20"/>
      <c r="AU227" s="20"/>
      <c r="AV227" s="20"/>
      <c r="AW227" s="42"/>
      <c r="AX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42"/>
      <c r="AN228" s="20"/>
      <c r="AO228" s="20"/>
      <c r="AP228" s="42"/>
      <c r="AQ228" s="20"/>
      <c r="AR228" s="42"/>
      <c r="AS228" s="42"/>
      <c r="AT228" s="20"/>
      <c r="AU228" s="20"/>
      <c r="AV228" s="20"/>
      <c r="AW228" s="42"/>
      <c r="AX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42"/>
      <c r="AN229" s="20"/>
      <c r="AO229" s="20"/>
      <c r="AP229" s="42"/>
      <c r="AQ229" s="20"/>
      <c r="AR229" s="42"/>
      <c r="AS229" s="42"/>
      <c r="AT229" s="20"/>
      <c r="AU229" s="20"/>
      <c r="AV229" s="20"/>
      <c r="AW229" s="42"/>
      <c r="AX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42"/>
      <c r="AN230" s="20"/>
      <c r="AO230" s="20"/>
      <c r="AP230" s="42"/>
      <c r="AQ230" s="20"/>
      <c r="AR230" s="42"/>
      <c r="AS230" s="42"/>
      <c r="AT230" s="20"/>
      <c r="AU230" s="20"/>
      <c r="AV230" s="20"/>
      <c r="AW230" s="42"/>
      <c r="AX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42"/>
      <c r="AN231" s="20"/>
      <c r="AO231" s="20"/>
      <c r="AP231" s="42"/>
      <c r="AQ231" s="20"/>
      <c r="AR231" s="42"/>
      <c r="AS231" s="42"/>
      <c r="AT231" s="20"/>
      <c r="AU231" s="20"/>
      <c r="AV231" s="20"/>
      <c r="AW231" s="42"/>
      <c r="AX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42"/>
      <c r="AN232" s="20"/>
      <c r="AO232" s="20"/>
      <c r="AP232" s="42"/>
      <c r="AQ232" s="20"/>
      <c r="AR232" s="42"/>
      <c r="AS232" s="42"/>
      <c r="AT232" s="20"/>
      <c r="AU232" s="20"/>
      <c r="AV232" s="20"/>
      <c r="AW232" s="42"/>
      <c r="AX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42"/>
      <c r="AN233" s="20"/>
      <c r="AO233" s="20"/>
      <c r="AP233" s="42"/>
      <c r="AQ233" s="20"/>
      <c r="AR233" s="42"/>
      <c r="AS233" s="42"/>
      <c r="AT233" s="20"/>
      <c r="AU233" s="20"/>
      <c r="AV233" s="20"/>
      <c r="AW233" s="42"/>
      <c r="AX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42"/>
      <c r="AN234" s="20"/>
      <c r="AO234" s="20"/>
      <c r="AP234" s="42"/>
      <c r="AQ234" s="20"/>
      <c r="AR234" s="42"/>
      <c r="AS234" s="42"/>
      <c r="AT234" s="20"/>
      <c r="AU234" s="20"/>
      <c r="AV234" s="20"/>
      <c r="AW234" s="42"/>
      <c r="AX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42"/>
      <c r="AN235" s="20"/>
      <c r="AO235" s="20"/>
      <c r="AP235" s="42"/>
      <c r="AQ235" s="20"/>
      <c r="AR235" s="42"/>
      <c r="AS235" s="42"/>
      <c r="AT235" s="20"/>
      <c r="AU235" s="20"/>
      <c r="AV235" s="20"/>
      <c r="AW235" s="42"/>
      <c r="AX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42"/>
      <c r="AN236" s="20"/>
      <c r="AO236" s="20"/>
      <c r="AP236" s="42"/>
      <c r="AQ236" s="20"/>
      <c r="AR236" s="42"/>
      <c r="AS236" s="42"/>
      <c r="AT236" s="20"/>
      <c r="AU236" s="20"/>
      <c r="AV236" s="20"/>
      <c r="AW236" s="42"/>
      <c r="AX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42"/>
      <c r="AN237" s="20"/>
      <c r="AO237" s="20"/>
      <c r="AP237" s="42"/>
      <c r="AQ237" s="20"/>
      <c r="AR237" s="42"/>
      <c r="AS237" s="42"/>
      <c r="AT237" s="20"/>
      <c r="AU237" s="20"/>
      <c r="AV237" s="20"/>
      <c r="AW237" s="42"/>
      <c r="AX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42"/>
      <c r="AN238" s="20"/>
      <c r="AO238" s="20"/>
      <c r="AP238" s="42"/>
      <c r="AQ238" s="20"/>
      <c r="AR238" s="42"/>
      <c r="AS238" s="42"/>
      <c r="AT238" s="20"/>
      <c r="AU238" s="20"/>
      <c r="AV238" s="20"/>
      <c r="AW238" s="42"/>
      <c r="AX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42"/>
      <c r="AN239" s="20"/>
      <c r="AO239" s="20"/>
      <c r="AP239" s="42"/>
      <c r="AQ239" s="20"/>
      <c r="AR239" s="42"/>
      <c r="AS239" s="42"/>
      <c r="AT239" s="20"/>
      <c r="AU239" s="20"/>
      <c r="AV239" s="20"/>
      <c r="AW239" s="42"/>
      <c r="AX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42"/>
      <c r="AN240" s="20"/>
      <c r="AO240" s="20"/>
      <c r="AP240" s="42"/>
      <c r="AQ240" s="20"/>
      <c r="AR240" s="42"/>
      <c r="AS240" s="42"/>
      <c r="AT240" s="20"/>
      <c r="AU240" s="20"/>
      <c r="AV240" s="20"/>
      <c r="AW240" s="42"/>
      <c r="AX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42"/>
      <c r="AN241" s="20"/>
      <c r="AO241" s="20"/>
      <c r="AP241" s="42"/>
      <c r="AQ241" s="20"/>
      <c r="AR241" s="42"/>
      <c r="AS241" s="42"/>
      <c r="AT241" s="20"/>
      <c r="AU241" s="20"/>
      <c r="AV241" s="20"/>
      <c r="AW241" s="42"/>
      <c r="AX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42"/>
      <c r="AN242" s="20"/>
      <c r="AO242" s="20"/>
      <c r="AP242" s="42"/>
      <c r="AQ242" s="20"/>
      <c r="AR242" s="42"/>
      <c r="AS242" s="42"/>
      <c r="AT242" s="20"/>
      <c r="AU242" s="20"/>
      <c r="AV242" s="20"/>
      <c r="AW242" s="42"/>
      <c r="AX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42"/>
      <c r="AN243" s="20"/>
      <c r="AO243" s="20"/>
      <c r="AP243" s="42"/>
      <c r="AQ243" s="20"/>
      <c r="AR243" s="42"/>
      <c r="AS243" s="42"/>
      <c r="AT243" s="20"/>
      <c r="AU243" s="20"/>
      <c r="AV243" s="20"/>
      <c r="AW243" s="42"/>
      <c r="AX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42"/>
      <c r="AN244" s="20"/>
      <c r="AO244" s="20"/>
      <c r="AP244" s="42"/>
      <c r="AQ244" s="20"/>
      <c r="AR244" s="42"/>
      <c r="AS244" s="42"/>
      <c r="AT244" s="20"/>
      <c r="AU244" s="20"/>
      <c r="AV244" s="20"/>
      <c r="AW244" s="42"/>
      <c r="AX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42"/>
      <c r="AN245" s="20"/>
      <c r="AO245" s="20"/>
      <c r="AP245" s="42"/>
      <c r="AQ245" s="20"/>
      <c r="AR245" s="42"/>
      <c r="AS245" s="42"/>
      <c r="AT245" s="20"/>
      <c r="AU245" s="20"/>
      <c r="AV245" s="20"/>
      <c r="AW245" s="42"/>
      <c r="AX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42"/>
      <c r="AN246" s="20"/>
      <c r="AO246" s="20"/>
      <c r="AP246" s="42"/>
      <c r="AQ246" s="20"/>
      <c r="AR246" s="42"/>
      <c r="AS246" s="42"/>
      <c r="AT246" s="20"/>
      <c r="AU246" s="20"/>
      <c r="AV246" s="20"/>
      <c r="AW246" s="42"/>
      <c r="AX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42"/>
      <c r="AN247" s="20"/>
      <c r="AO247" s="20"/>
      <c r="AP247" s="42"/>
      <c r="AQ247" s="20"/>
      <c r="AR247" s="42"/>
      <c r="AS247" s="42"/>
      <c r="AT247" s="20"/>
      <c r="AU247" s="20"/>
      <c r="AV247" s="20"/>
      <c r="AW247" s="42"/>
      <c r="AX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42"/>
      <c r="AN248" s="20"/>
      <c r="AO248" s="20"/>
      <c r="AP248" s="42"/>
      <c r="AQ248" s="20"/>
      <c r="AR248" s="42"/>
      <c r="AS248" s="42"/>
      <c r="AT248" s="20"/>
      <c r="AU248" s="20"/>
      <c r="AV248" s="20"/>
      <c r="AW248" s="42"/>
      <c r="AX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42"/>
      <c r="AN249" s="20"/>
      <c r="AO249" s="20"/>
      <c r="AP249" s="42"/>
      <c r="AQ249" s="20"/>
      <c r="AR249" s="42"/>
      <c r="AS249" s="42"/>
      <c r="AT249" s="20"/>
      <c r="AU249" s="20"/>
      <c r="AV249" s="20"/>
      <c r="AW249" s="42"/>
      <c r="AX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42"/>
      <c r="AN250" s="20"/>
      <c r="AO250" s="20"/>
      <c r="AP250" s="42"/>
      <c r="AQ250" s="20"/>
      <c r="AR250" s="42"/>
      <c r="AS250" s="42"/>
      <c r="AT250" s="20"/>
      <c r="AU250" s="20"/>
      <c r="AV250" s="20"/>
      <c r="AW250" s="42"/>
      <c r="AX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42"/>
      <c r="AN251" s="20"/>
      <c r="AO251" s="20"/>
      <c r="AP251" s="42"/>
      <c r="AQ251" s="20"/>
      <c r="AR251" s="42"/>
      <c r="AS251" s="42"/>
      <c r="AT251" s="20"/>
      <c r="AU251" s="20"/>
      <c r="AV251" s="20"/>
      <c r="AW251" s="42"/>
      <c r="AX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42"/>
      <c r="AN252" s="20"/>
      <c r="AO252" s="20"/>
      <c r="AP252" s="42"/>
      <c r="AQ252" s="20"/>
      <c r="AR252" s="42"/>
      <c r="AS252" s="42"/>
      <c r="AT252" s="20"/>
      <c r="AU252" s="20"/>
      <c r="AV252" s="20"/>
      <c r="AW252" s="42"/>
      <c r="AX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42"/>
      <c r="AN253" s="20"/>
      <c r="AO253" s="20"/>
      <c r="AP253" s="42"/>
      <c r="AQ253" s="20"/>
      <c r="AR253" s="42"/>
      <c r="AS253" s="42"/>
      <c r="AT253" s="20"/>
      <c r="AU253" s="20"/>
      <c r="AV253" s="20"/>
      <c r="AW253" s="42"/>
      <c r="AX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42"/>
      <c r="AN254" s="20"/>
      <c r="AO254" s="20"/>
      <c r="AP254" s="42"/>
      <c r="AQ254" s="20"/>
      <c r="AR254" s="42"/>
      <c r="AS254" s="42"/>
      <c r="AT254" s="20"/>
      <c r="AU254" s="20"/>
      <c r="AV254" s="20"/>
      <c r="AW254" s="42"/>
      <c r="AX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42"/>
      <c r="AN255" s="20"/>
      <c r="AO255" s="20"/>
      <c r="AP255" s="42"/>
      <c r="AQ255" s="20"/>
      <c r="AR255" s="42"/>
      <c r="AS255" s="42"/>
      <c r="AT255" s="20"/>
      <c r="AU255" s="20"/>
      <c r="AV255" s="20"/>
      <c r="AW255" s="42"/>
      <c r="AX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42"/>
      <c r="AN256" s="20"/>
      <c r="AO256" s="20"/>
      <c r="AP256" s="42"/>
      <c r="AQ256" s="20"/>
      <c r="AR256" s="42"/>
      <c r="AS256" s="42"/>
      <c r="AT256" s="20"/>
      <c r="AU256" s="20"/>
      <c r="AV256" s="20"/>
      <c r="AW256" s="42"/>
      <c r="AX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42"/>
      <c r="AN257" s="20"/>
      <c r="AO257" s="20"/>
      <c r="AP257" s="42"/>
      <c r="AQ257" s="20"/>
      <c r="AR257" s="42"/>
      <c r="AS257" s="42"/>
      <c r="AT257" s="20"/>
      <c r="AU257" s="20"/>
      <c r="AV257" s="20"/>
      <c r="AW257" s="42"/>
      <c r="AX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42"/>
      <c r="AN258" s="20"/>
      <c r="AO258" s="20"/>
      <c r="AP258" s="42"/>
      <c r="AQ258" s="20"/>
      <c r="AR258" s="42"/>
      <c r="AS258" s="42"/>
      <c r="AT258" s="20"/>
      <c r="AU258" s="20"/>
      <c r="AV258" s="20"/>
      <c r="AW258" s="42"/>
      <c r="AX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42"/>
      <c r="AN259" s="20"/>
      <c r="AO259" s="20"/>
      <c r="AP259" s="42"/>
      <c r="AQ259" s="20"/>
      <c r="AR259" s="42"/>
      <c r="AS259" s="42"/>
      <c r="AT259" s="20"/>
      <c r="AU259" s="20"/>
      <c r="AV259" s="20"/>
      <c r="AW259" s="42"/>
      <c r="AX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42"/>
      <c r="AN260" s="20"/>
      <c r="AO260" s="20"/>
      <c r="AP260" s="42"/>
      <c r="AQ260" s="20"/>
      <c r="AR260" s="42"/>
      <c r="AS260" s="42"/>
      <c r="AT260" s="20"/>
      <c r="AU260" s="20"/>
      <c r="AV260" s="20"/>
      <c r="AW260" s="42"/>
      <c r="AX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42"/>
      <c r="AN261" s="20"/>
      <c r="AO261" s="20"/>
      <c r="AP261" s="42"/>
      <c r="AQ261" s="20"/>
      <c r="AR261" s="42"/>
      <c r="AS261" s="42"/>
      <c r="AT261" s="20"/>
      <c r="AU261" s="20"/>
      <c r="AV261" s="20"/>
      <c r="AW261" s="42"/>
      <c r="AX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42"/>
      <c r="AN262" s="20"/>
      <c r="AO262" s="20"/>
      <c r="AP262" s="42"/>
      <c r="AQ262" s="20"/>
      <c r="AR262" s="42"/>
      <c r="AS262" s="42"/>
      <c r="AT262" s="20"/>
      <c r="AU262" s="20"/>
      <c r="AV262" s="20"/>
      <c r="AW262" s="42"/>
      <c r="AX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42"/>
      <c r="AN263" s="20"/>
      <c r="AO263" s="20"/>
      <c r="AP263" s="42"/>
      <c r="AQ263" s="20"/>
      <c r="AR263" s="42"/>
      <c r="AS263" s="42"/>
      <c r="AT263" s="20"/>
      <c r="AU263" s="20"/>
      <c r="AV263" s="20"/>
      <c r="AW263" s="42"/>
      <c r="AX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42"/>
      <c r="AN264" s="20"/>
      <c r="AO264" s="20"/>
      <c r="AP264" s="42"/>
      <c r="AQ264" s="20"/>
      <c r="AR264" s="42"/>
      <c r="AS264" s="42"/>
      <c r="AT264" s="20"/>
      <c r="AU264" s="20"/>
      <c r="AV264" s="20"/>
      <c r="AW264" s="42"/>
      <c r="AX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42"/>
      <c r="AN265" s="20"/>
      <c r="AO265" s="20"/>
      <c r="AP265" s="42"/>
      <c r="AQ265" s="20"/>
      <c r="AR265" s="42"/>
      <c r="AS265" s="42"/>
      <c r="AT265" s="20"/>
      <c r="AU265" s="20"/>
      <c r="AV265" s="20"/>
      <c r="AW265" s="42"/>
      <c r="AX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42"/>
      <c r="AN266" s="20"/>
      <c r="AO266" s="20"/>
      <c r="AP266" s="42"/>
      <c r="AQ266" s="20"/>
      <c r="AR266" s="42"/>
      <c r="AS266" s="42"/>
      <c r="AT266" s="20"/>
      <c r="AU266" s="20"/>
      <c r="AV266" s="20"/>
      <c r="AW266" s="42"/>
      <c r="AX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42"/>
      <c r="AN267" s="20"/>
      <c r="AO267" s="20"/>
      <c r="AP267" s="42"/>
      <c r="AQ267" s="20"/>
      <c r="AR267" s="42"/>
      <c r="AS267" s="42"/>
      <c r="AT267" s="20"/>
      <c r="AU267" s="20"/>
      <c r="AV267" s="20"/>
      <c r="AW267" s="42"/>
      <c r="AX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42"/>
      <c r="AN268" s="20"/>
      <c r="AO268" s="20"/>
      <c r="AP268" s="42"/>
      <c r="AQ268" s="20"/>
      <c r="AR268" s="42"/>
      <c r="AS268" s="42"/>
      <c r="AT268" s="20"/>
      <c r="AU268" s="20"/>
      <c r="AV268" s="20"/>
      <c r="AW268" s="42"/>
      <c r="AX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42"/>
      <c r="AN269" s="20"/>
      <c r="AO269" s="20"/>
      <c r="AP269" s="42"/>
      <c r="AQ269" s="20"/>
      <c r="AR269" s="42"/>
      <c r="AS269" s="42"/>
      <c r="AT269" s="20"/>
      <c r="AU269" s="20"/>
      <c r="AV269" s="20"/>
      <c r="AW269" s="42"/>
      <c r="AX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42"/>
      <c r="AN270" s="20"/>
      <c r="AO270" s="20"/>
      <c r="AP270" s="42"/>
      <c r="AQ270" s="20"/>
      <c r="AR270" s="42"/>
      <c r="AS270" s="42"/>
      <c r="AT270" s="20"/>
      <c r="AU270" s="20"/>
      <c r="AV270" s="20"/>
      <c r="AW270" s="42"/>
      <c r="AX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42"/>
      <c r="AN271" s="20"/>
      <c r="AO271" s="20"/>
      <c r="AP271" s="42"/>
      <c r="AQ271" s="20"/>
      <c r="AR271" s="42"/>
      <c r="AS271" s="42"/>
      <c r="AT271" s="20"/>
      <c r="AU271" s="20"/>
      <c r="AV271" s="20"/>
      <c r="AW271" s="42"/>
      <c r="AX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42"/>
      <c r="AN272" s="20"/>
      <c r="AO272" s="20"/>
      <c r="AP272" s="42"/>
      <c r="AQ272" s="20"/>
      <c r="AR272" s="42"/>
      <c r="AS272" s="42"/>
      <c r="AT272" s="20"/>
      <c r="AU272" s="20"/>
      <c r="AV272" s="20"/>
      <c r="AW272" s="42"/>
      <c r="AX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42"/>
      <c r="AN273" s="20"/>
      <c r="AO273" s="20"/>
      <c r="AP273" s="42"/>
      <c r="AQ273" s="20"/>
      <c r="AR273" s="42"/>
      <c r="AS273" s="42"/>
      <c r="AT273" s="20"/>
      <c r="AU273" s="20"/>
      <c r="AV273" s="20"/>
      <c r="AW273" s="42"/>
      <c r="AX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42"/>
      <c r="AN274" s="20"/>
      <c r="AO274" s="20"/>
      <c r="AP274" s="42"/>
      <c r="AQ274" s="20"/>
      <c r="AR274" s="42"/>
      <c r="AS274" s="42"/>
      <c r="AT274" s="20"/>
      <c r="AU274" s="20"/>
      <c r="AV274" s="20"/>
      <c r="AW274" s="42"/>
      <c r="AX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42"/>
      <c r="AN275" s="20"/>
      <c r="AO275" s="20"/>
      <c r="AP275" s="42"/>
      <c r="AQ275" s="20"/>
      <c r="AR275" s="42"/>
      <c r="AS275" s="42"/>
      <c r="AT275" s="20"/>
      <c r="AU275" s="20"/>
      <c r="AV275" s="20"/>
      <c r="AW275" s="42"/>
      <c r="AX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42"/>
      <c r="AN276" s="20"/>
      <c r="AO276" s="20"/>
      <c r="AP276" s="42"/>
      <c r="AQ276" s="20"/>
      <c r="AR276" s="42"/>
      <c r="AS276" s="42"/>
      <c r="AT276" s="20"/>
      <c r="AU276" s="20"/>
      <c r="AV276" s="20"/>
      <c r="AW276" s="42"/>
      <c r="AX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42"/>
      <c r="AN277" s="20"/>
      <c r="AO277" s="20"/>
      <c r="AP277" s="42"/>
      <c r="AQ277" s="20"/>
      <c r="AR277" s="42"/>
      <c r="AS277" s="42"/>
      <c r="AT277" s="20"/>
      <c r="AU277" s="20"/>
      <c r="AV277" s="20"/>
      <c r="AW277" s="42"/>
      <c r="AX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42"/>
      <c r="AN278" s="20"/>
      <c r="AO278" s="20"/>
      <c r="AP278" s="42"/>
      <c r="AQ278" s="20"/>
      <c r="AR278" s="42"/>
      <c r="AS278" s="42"/>
      <c r="AT278" s="20"/>
      <c r="AU278" s="20"/>
      <c r="AV278" s="20"/>
      <c r="AW278" s="42"/>
      <c r="AX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42"/>
      <c r="AN279" s="20"/>
      <c r="AO279" s="20"/>
      <c r="AP279" s="42"/>
      <c r="AQ279" s="20"/>
      <c r="AR279" s="42"/>
      <c r="AS279" s="42"/>
      <c r="AT279" s="20"/>
      <c r="AU279" s="20"/>
      <c r="AV279" s="20"/>
      <c r="AW279" s="42"/>
      <c r="AX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42"/>
      <c r="AN280" s="20"/>
      <c r="AO280" s="20"/>
      <c r="AP280" s="42"/>
      <c r="AQ280" s="20"/>
      <c r="AR280" s="42"/>
      <c r="AS280" s="42"/>
      <c r="AT280" s="20"/>
      <c r="AU280" s="20"/>
      <c r="AV280" s="20"/>
      <c r="AW280" s="42"/>
      <c r="AX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42"/>
      <c r="AN281" s="20"/>
      <c r="AO281" s="20"/>
      <c r="AP281" s="42"/>
      <c r="AQ281" s="20"/>
      <c r="AR281" s="42"/>
      <c r="AS281" s="42"/>
      <c r="AT281" s="20"/>
      <c r="AU281" s="20"/>
      <c r="AV281" s="20"/>
      <c r="AW281" s="42"/>
      <c r="AX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42"/>
      <c r="AN282" s="20"/>
      <c r="AO282" s="20"/>
      <c r="AP282" s="42"/>
      <c r="AQ282" s="20"/>
      <c r="AR282" s="42"/>
      <c r="AS282" s="42"/>
      <c r="AT282" s="20"/>
      <c r="AU282" s="20"/>
      <c r="AV282" s="20"/>
      <c r="AW282" s="42"/>
      <c r="AX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42"/>
      <c r="AN283" s="20"/>
      <c r="AO283" s="20"/>
      <c r="AP283" s="42"/>
      <c r="AQ283" s="20"/>
      <c r="AR283" s="42"/>
      <c r="AS283" s="42"/>
      <c r="AT283" s="20"/>
      <c r="AU283" s="20"/>
      <c r="AV283" s="20"/>
      <c r="AW283" s="42"/>
      <c r="AX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42"/>
      <c r="AN284" s="20"/>
      <c r="AO284" s="20"/>
      <c r="AP284" s="42"/>
      <c r="AQ284" s="20"/>
      <c r="AR284" s="42"/>
      <c r="AS284" s="42"/>
      <c r="AT284" s="20"/>
      <c r="AU284" s="20"/>
      <c r="AV284" s="20"/>
      <c r="AW284" s="42"/>
      <c r="AX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42"/>
      <c r="AN285" s="20"/>
      <c r="AO285" s="20"/>
      <c r="AP285" s="42"/>
      <c r="AQ285" s="20"/>
      <c r="AR285" s="42"/>
      <c r="AS285" s="42"/>
      <c r="AT285" s="20"/>
      <c r="AU285" s="20"/>
      <c r="AV285" s="20"/>
      <c r="AW285" s="42"/>
      <c r="AX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42"/>
      <c r="AN286" s="20"/>
      <c r="AO286" s="20"/>
      <c r="AP286" s="42"/>
      <c r="AQ286" s="20"/>
      <c r="AR286" s="42"/>
      <c r="AS286" s="42"/>
      <c r="AT286" s="20"/>
      <c r="AU286" s="20"/>
      <c r="AV286" s="20"/>
      <c r="AW286" s="42"/>
      <c r="AX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42"/>
      <c r="AN287" s="20"/>
      <c r="AO287" s="20"/>
      <c r="AP287" s="42"/>
      <c r="AQ287" s="20"/>
      <c r="AR287" s="42"/>
      <c r="AS287" s="42"/>
      <c r="AT287" s="20"/>
      <c r="AU287" s="20"/>
      <c r="AV287" s="20"/>
      <c r="AW287" s="42"/>
      <c r="AX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42"/>
      <c r="AN288" s="20"/>
      <c r="AO288" s="20"/>
      <c r="AP288" s="42"/>
      <c r="AQ288" s="20"/>
      <c r="AR288" s="42"/>
      <c r="AS288" s="42"/>
      <c r="AT288" s="20"/>
      <c r="AU288" s="20"/>
      <c r="AV288" s="20"/>
      <c r="AW288" s="42"/>
      <c r="AX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42"/>
      <c r="AN289" s="20"/>
      <c r="AO289" s="20"/>
      <c r="AP289" s="42"/>
      <c r="AQ289" s="20"/>
      <c r="AR289" s="42"/>
      <c r="AS289" s="42"/>
      <c r="AT289" s="20"/>
      <c r="AU289" s="20"/>
      <c r="AV289" s="20"/>
      <c r="AW289" s="42"/>
      <c r="AX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42"/>
      <c r="AN290" s="20"/>
      <c r="AO290" s="20"/>
      <c r="AP290" s="42"/>
      <c r="AQ290" s="20"/>
      <c r="AR290" s="42"/>
      <c r="AS290" s="42"/>
      <c r="AT290" s="20"/>
      <c r="AU290" s="20"/>
      <c r="AV290" s="20"/>
      <c r="AW290" s="42"/>
      <c r="AX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42"/>
      <c r="AN291" s="20"/>
      <c r="AO291" s="20"/>
      <c r="AP291" s="42"/>
      <c r="AQ291" s="20"/>
      <c r="AR291" s="42"/>
      <c r="AS291" s="42"/>
      <c r="AT291" s="20"/>
      <c r="AU291" s="20"/>
      <c r="AV291" s="20"/>
      <c r="AW291" s="42"/>
      <c r="AX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42"/>
      <c r="AN292" s="20"/>
      <c r="AO292" s="20"/>
      <c r="AP292" s="42"/>
      <c r="AQ292" s="20"/>
      <c r="AR292" s="42"/>
      <c r="AS292" s="42"/>
      <c r="AT292" s="20"/>
      <c r="AU292" s="20"/>
      <c r="AV292" s="20"/>
      <c r="AW292" s="42"/>
      <c r="AX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42"/>
      <c r="AN293" s="20"/>
      <c r="AO293" s="20"/>
      <c r="AP293" s="42"/>
      <c r="AQ293" s="20"/>
      <c r="AR293" s="42"/>
      <c r="AS293" s="42"/>
      <c r="AT293" s="20"/>
      <c r="AU293" s="20"/>
      <c r="AV293" s="20"/>
      <c r="AW293" s="42"/>
      <c r="AX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42"/>
      <c r="AN294" s="20"/>
      <c r="AO294" s="20"/>
      <c r="AP294" s="42"/>
      <c r="AQ294" s="20"/>
      <c r="AR294" s="42"/>
      <c r="AS294" s="42"/>
      <c r="AT294" s="20"/>
      <c r="AU294" s="20"/>
      <c r="AV294" s="20"/>
      <c r="AW294" s="42"/>
      <c r="AX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42"/>
      <c r="AN295" s="20"/>
      <c r="AO295" s="20"/>
      <c r="AP295" s="42"/>
      <c r="AQ295" s="20"/>
      <c r="AR295" s="42"/>
      <c r="AS295" s="42"/>
      <c r="AT295" s="20"/>
      <c r="AU295" s="20"/>
      <c r="AV295" s="20"/>
      <c r="AW295" s="42"/>
      <c r="AX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42"/>
      <c r="AN296" s="20"/>
      <c r="AO296" s="20"/>
      <c r="AP296" s="42"/>
      <c r="AQ296" s="20"/>
      <c r="AR296" s="42"/>
      <c r="AS296" s="42"/>
      <c r="AT296" s="20"/>
      <c r="AU296" s="20"/>
      <c r="AV296" s="20"/>
      <c r="AW296" s="42"/>
      <c r="AX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42"/>
      <c r="AN297" s="20"/>
      <c r="AO297" s="20"/>
      <c r="AP297" s="42"/>
      <c r="AQ297" s="20"/>
      <c r="AR297" s="42"/>
      <c r="AS297" s="42"/>
      <c r="AT297" s="20"/>
      <c r="AU297" s="20"/>
      <c r="AV297" s="20"/>
      <c r="AW297" s="42"/>
      <c r="AX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42"/>
      <c r="AN298" s="20"/>
      <c r="AO298" s="20"/>
      <c r="AP298" s="42"/>
      <c r="AQ298" s="20"/>
      <c r="AR298" s="42"/>
      <c r="AS298" s="42"/>
      <c r="AT298" s="20"/>
      <c r="AU298" s="20"/>
      <c r="AV298" s="20"/>
      <c r="AW298" s="42"/>
      <c r="AX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42"/>
      <c r="AN299" s="20"/>
      <c r="AO299" s="20"/>
      <c r="AP299" s="42"/>
      <c r="AQ299" s="20"/>
      <c r="AR299" s="42"/>
      <c r="AS299" s="42"/>
      <c r="AT299" s="20"/>
      <c r="AU299" s="20"/>
      <c r="AV299" s="20"/>
      <c r="AW299" s="42"/>
      <c r="AX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42"/>
      <c r="AN300" s="20"/>
      <c r="AO300" s="20"/>
      <c r="AP300" s="42"/>
      <c r="AQ300" s="20"/>
      <c r="AR300" s="42"/>
      <c r="AS300" s="42"/>
      <c r="AT300" s="20"/>
      <c r="AU300" s="20"/>
      <c r="AV300" s="20"/>
      <c r="AW300" s="42"/>
      <c r="AX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42"/>
      <c r="AN301" s="20"/>
      <c r="AO301" s="20"/>
      <c r="AP301" s="42"/>
      <c r="AQ301" s="20"/>
      <c r="AR301" s="42"/>
      <c r="AS301" s="42"/>
      <c r="AT301" s="20"/>
      <c r="AU301" s="20"/>
      <c r="AV301" s="20"/>
      <c r="AW301" s="42"/>
      <c r="AX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42"/>
      <c r="AN302" s="20"/>
      <c r="AO302" s="20"/>
      <c r="AP302" s="42"/>
      <c r="AQ302" s="20"/>
      <c r="AR302" s="42"/>
      <c r="AS302" s="42"/>
      <c r="AT302" s="20"/>
      <c r="AU302" s="20"/>
      <c r="AV302" s="20"/>
      <c r="AW302" s="42"/>
      <c r="AX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42"/>
      <c r="AN303" s="20"/>
      <c r="AO303" s="20"/>
      <c r="AP303" s="42"/>
      <c r="AQ303" s="20"/>
      <c r="AR303" s="42"/>
      <c r="AS303" s="42"/>
      <c r="AT303" s="20"/>
      <c r="AU303" s="20"/>
      <c r="AV303" s="20"/>
      <c r="AW303" s="42"/>
      <c r="AX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42"/>
      <c r="AN304" s="20"/>
      <c r="AO304" s="20"/>
      <c r="AP304" s="42"/>
      <c r="AQ304" s="20"/>
      <c r="AR304" s="42"/>
      <c r="AS304" s="42"/>
      <c r="AT304" s="20"/>
      <c r="AU304" s="20"/>
      <c r="AV304" s="20"/>
      <c r="AW304" s="42"/>
      <c r="AX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42"/>
      <c r="AN305" s="20"/>
      <c r="AO305" s="20"/>
      <c r="AP305" s="42"/>
      <c r="AQ305" s="20"/>
      <c r="AR305" s="42"/>
      <c r="AS305" s="42"/>
      <c r="AT305" s="20"/>
      <c r="AU305" s="20"/>
      <c r="AV305" s="20"/>
      <c r="AW305" s="42"/>
      <c r="AX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42"/>
      <c r="AN306" s="20"/>
      <c r="AO306" s="20"/>
      <c r="AP306" s="42"/>
      <c r="AQ306" s="20"/>
      <c r="AR306" s="42"/>
      <c r="AS306" s="42"/>
      <c r="AT306" s="20"/>
      <c r="AU306" s="20"/>
      <c r="AV306" s="20"/>
      <c r="AW306" s="42"/>
      <c r="AX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42"/>
      <c r="AN307" s="20"/>
      <c r="AO307" s="20"/>
      <c r="AP307" s="42"/>
      <c r="AQ307" s="20"/>
      <c r="AR307" s="42"/>
      <c r="AS307" s="42"/>
      <c r="AT307" s="20"/>
      <c r="AU307" s="20"/>
      <c r="AV307" s="20"/>
      <c r="AW307" s="42"/>
      <c r="AX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42"/>
      <c r="AN308" s="20"/>
      <c r="AO308" s="20"/>
      <c r="AP308" s="42"/>
      <c r="AQ308" s="20"/>
      <c r="AR308" s="42"/>
      <c r="AS308" s="42"/>
      <c r="AT308" s="20"/>
      <c r="AU308" s="20"/>
      <c r="AV308" s="20"/>
      <c r="AW308" s="42"/>
      <c r="AX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42"/>
      <c r="AN309" s="20"/>
      <c r="AO309" s="20"/>
      <c r="AP309" s="42"/>
      <c r="AQ309" s="20"/>
      <c r="AR309" s="42"/>
      <c r="AS309" s="42"/>
      <c r="AT309" s="20"/>
      <c r="AU309" s="20"/>
      <c r="AV309" s="20"/>
      <c r="AW309" s="42"/>
      <c r="AX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42"/>
      <c r="AN310" s="20"/>
      <c r="AO310" s="20"/>
      <c r="AP310" s="42"/>
      <c r="AQ310" s="20"/>
      <c r="AR310" s="42"/>
      <c r="AS310" s="42"/>
      <c r="AT310" s="20"/>
      <c r="AU310" s="20"/>
      <c r="AV310" s="20"/>
      <c r="AW310" s="42"/>
      <c r="AX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42"/>
      <c r="AN311" s="20"/>
      <c r="AO311" s="20"/>
      <c r="AP311" s="42"/>
      <c r="AQ311" s="20"/>
      <c r="AR311" s="42"/>
      <c r="AS311" s="42"/>
      <c r="AT311" s="20"/>
      <c r="AU311" s="20"/>
      <c r="AV311" s="20"/>
      <c r="AW311" s="42"/>
      <c r="AX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42"/>
      <c r="AN312" s="20"/>
      <c r="AO312" s="20"/>
      <c r="AP312" s="42"/>
      <c r="AQ312" s="20"/>
      <c r="AR312" s="42"/>
      <c r="AS312" s="42"/>
      <c r="AT312" s="20"/>
      <c r="AU312" s="20"/>
      <c r="AV312" s="20"/>
      <c r="AW312" s="42"/>
      <c r="AX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42"/>
      <c r="AN313" s="20"/>
      <c r="AO313" s="20"/>
      <c r="AP313" s="42"/>
      <c r="AQ313" s="20"/>
      <c r="AR313" s="42"/>
      <c r="AS313" s="42"/>
      <c r="AT313" s="20"/>
      <c r="AU313" s="20"/>
      <c r="AV313" s="20"/>
      <c r="AW313" s="42"/>
      <c r="AX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42"/>
      <c r="AN314" s="20"/>
      <c r="AO314" s="20"/>
      <c r="AP314" s="42"/>
      <c r="AQ314" s="20"/>
      <c r="AR314" s="42"/>
      <c r="AS314" s="42"/>
      <c r="AT314" s="20"/>
      <c r="AU314" s="20"/>
      <c r="AV314" s="20"/>
      <c r="AW314" s="42"/>
      <c r="AX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42"/>
      <c r="AN315" s="20"/>
      <c r="AO315" s="20"/>
      <c r="AP315" s="42"/>
      <c r="AQ315" s="20"/>
      <c r="AR315" s="42"/>
      <c r="AS315" s="42"/>
      <c r="AT315" s="20"/>
      <c r="AU315" s="20"/>
      <c r="AV315" s="20"/>
      <c r="AW315" s="42"/>
      <c r="AX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42"/>
      <c r="AN316" s="20"/>
      <c r="AO316" s="20"/>
      <c r="AP316" s="42"/>
      <c r="AQ316" s="20"/>
      <c r="AR316" s="42"/>
      <c r="AS316" s="42"/>
      <c r="AT316" s="20"/>
      <c r="AU316" s="20"/>
      <c r="AV316" s="20"/>
      <c r="AW316" s="42"/>
      <c r="AX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42"/>
      <c r="AN317" s="20"/>
      <c r="AO317" s="20"/>
      <c r="AP317" s="42"/>
      <c r="AQ317" s="20"/>
      <c r="AR317" s="42"/>
      <c r="AS317" s="42"/>
      <c r="AT317" s="20"/>
      <c r="AU317" s="20"/>
      <c r="AV317" s="20"/>
      <c r="AW317" s="42"/>
      <c r="AX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42"/>
      <c r="AN318" s="20"/>
      <c r="AO318" s="20"/>
      <c r="AP318" s="42"/>
      <c r="AQ318" s="20"/>
      <c r="AR318" s="42"/>
      <c r="AS318" s="42"/>
      <c r="AT318" s="20"/>
      <c r="AU318" s="20"/>
      <c r="AV318" s="20"/>
      <c r="AW318" s="42"/>
      <c r="AX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42"/>
      <c r="AN319" s="20"/>
      <c r="AO319" s="20"/>
      <c r="AP319" s="42"/>
      <c r="AQ319" s="20"/>
      <c r="AR319" s="42"/>
      <c r="AS319" s="42"/>
      <c r="AT319" s="20"/>
      <c r="AU319" s="20"/>
      <c r="AV319" s="20"/>
      <c r="AW319" s="42"/>
      <c r="AX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42"/>
      <c r="AN320" s="20"/>
      <c r="AO320" s="20"/>
      <c r="AP320" s="42"/>
      <c r="AQ320" s="20"/>
      <c r="AR320" s="42"/>
      <c r="AS320" s="42"/>
      <c r="AT320" s="20"/>
      <c r="AU320" s="20"/>
      <c r="AV320" s="20"/>
      <c r="AW320" s="42"/>
      <c r="AX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42"/>
      <c r="AN321" s="20"/>
      <c r="AO321" s="20"/>
      <c r="AP321" s="42"/>
      <c r="AQ321" s="20"/>
      <c r="AR321" s="42"/>
      <c r="AS321" s="42"/>
      <c r="AT321" s="20"/>
      <c r="AU321" s="20"/>
      <c r="AV321" s="20"/>
      <c r="AW321" s="42"/>
      <c r="AX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42"/>
      <c r="AN322" s="20"/>
      <c r="AO322" s="20"/>
      <c r="AP322" s="42"/>
      <c r="AQ322" s="20"/>
      <c r="AR322" s="42"/>
      <c r="AS322" s="42"/>
      <c r="AT322" s="20"/>
      <c r="AU322" s="20"/>
      <c r="AV322" s="20"/>
      <c r="AW322" s="42"/>
      <c r="AX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42"/>
      <c r="AN323" s="20"/>
      <c r="AO323" s="20"/>
      <c r="AP323" s="42"/>
      <c r="AQ323" s="20"/>
      <c r="AR323" s="42"/>
      <c r="AS323" s="42"/>
      <c r="AT323" s="20"/>
      <c r="AU323" s="20"/>
      <c r="AV323" s="20"/>
      <c r="AW323" s="42"/>
      <c r="AX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42"/>
      <c r="AN324" s="20"/>
      <c r="AO324" s="20"/>
      <c r="AP324" s="42"/>
      <c r="AQ324" s="20"/>
      <c r="AR324" s="42"/>
      <c r="AS324" s="42"/>
      <c r="AT324" s="20"/>
      <c r="AU324" s="20"/>
      <c r="AV324" s="20"/>
      <c r="AW324" s="42"/>
      <c r="AX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42"/>
      <c r="AN325" s="20"/>
      <c r="AO325" s="20"/>
      <c r="AP325" s="42"/>
      <c r="AQ325" s="20"/>
      <c r="AR325" s="42"/>
      <c r="AS325" s="42"/>
      <c r="AT325" s="20"/>
      <c r="AU325" s="20"/>
      <c r="AV325" s="20"/>
      <c r="AW325" s="42"/>
      <c r="AX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42"/>
      <c r="AN326" s="20"/>
      <c r="AO326" s="20"/>
      <c r="AP326" s="42"/>
      <c r="AQ326" s="20"/>
      <c r="AR326" s="42"/>
      <c r="AS326" s="42"/>
      <c r="AT326" s="20"/>
      <c r="AU326" s="20"/>
      <c r="AV326" s="20"/>
      <c r="AW326" s="42"/>
      <c r="AX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42"/>
      <c r="AN327" s="20"/>
      <c r="AO327" s="20"/>
      <c r="AP327" s="42"/>
      <c r="AQ327" s="20"/>
      <c r="AR327" s="42"/>
      <c r="AS327" s="42"/>
      <c r="AT327" s="20"/>
      <c r="AU327" s="20"/>
      <c r="AV327" s="20"/>
      <c r="AW327" s="42"/>
      <c r="AX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42"/>
      <c r="AN328" s="20"/>
      <c r="AO328" s="20"/>
      <c r="AP328" s="42"/>
      <c r="AQ328" s="20"/>
      <c r="AR328" s="42"/>
      <c r="AS328" s="42"/>
      <c r="AT328" s="20"/>
      <c r="AU328" s="20"/>
      <c r="AV328" s="20"/>
      <c r="AW328" s="42"/>
      <c r="AX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42"/>
      <c r="AN329" s="20"/>
      <c r="AO329" s="20"/>
      <c r="AP329" s="42"/>
      <c r="AQ329" s="20"/>
      <c r="AR329" s="42"/>
      <c r="AS329" s="42"/>
      <c r="AT329" s="20"/>
      <c r="AU329" s="20"/>
      <c r="AV329" s="20"/>
      <c r="AW329" s="42"/>
      <c r="AX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42"/>
      <c r="AN330" s="20"/>
      <c r="AO330" s="20"/>
      <c r="AP330" s="42"/>
      <c r="AQ330" s="20"/>
      <c r="AR330" s="42"/>
      <c r="AS330" s="42"/>
      <c r="AT330" s="20"/>
      <c r="AU330" s="20"/>
      <c r="AV330" s="20"/>
      <c r="AW330" s="42"/>
      <c r="AX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42"/>
      <c r="AN331" s="20"/>
      <c r="AO331" s="20"/>
      <c r="AP331" s="42"/>
      <c r="AQ331" s="20"/>
      <c r="AR331" s="42"/>
      <c r="AS331" s="42"/>
      <c r="AT331" s="20"/>
      <c r="AU331" s="20"/>
      <c r="AV331" s="20"/>
      <c r="AW331" s="42"/>
      <c r="AX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42"/>
      <c r="AN332" s="20"/>
      <c r="AO332" s="20"/>
      <c r="AP332" s="42"/>
      <c r="AQ332" s="20"/>
      <c r="AR332" s="42"/>
      <c r="AS332" s="42"/>
      <c r="AT332" s="20"/>
      <c r="AU332" s="20"/>
      <c r="AV332" s="20"/>
      <c r="AW332" s="42"/>
      <c r="AX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42"/>
      <c r="AN333" s="20"/>
      <c r="AO333" s="20"/>
      <c r="AP333" s="42"/>
      <c r="AQ333" s="20"/>
      <c r="AR333" s="42"/>
      <c r="AS333" s="42"/>
      <c r="AT333" s="20"/>
      <c r="AU333" s="20"/>
      <c r="AV333" s="20"/>
      <c r="AW333" s="42"/>
      <c r="AX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42"/>
      <c r="AN334" s="20"/>
      <c r="AO334" s="20"/>
      <c r="AP334" s="42"/>
      <c r="AQ334" s="20"/>
      <c r="AR334" s="42"/>
      <c r="AS334" s="42"/>
      <c r="AT334" s="20"/>
      <c r="AU334" s="20"/>
      <c r="AV334" s="20"/>
      <c r="AW334" s="42"/>
      <c r="AX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42"/>
      <c r="AN335" s="20"/>
      <c r="AO335" s="20"/>
      <c r="AP335" s="42"/>
      <c r="AQ335" s="20"/>
      <c r="AR335" s="42"/>
      <c r="AS335" s="42"/>
      <c r="AT335" s="20"/>
      <c r="AU335" s="20"/>
      <c r="AV335" s="20"/>
      <c r="AW335" s="42"/>
      <c r="AX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42"/>
      <c r="AN336" s="20"/>
      <c r="AO336" s="20"/>
      <c r="AP336" s="42"/>
      <c r="AQ336" s="20"/>
      <c r="AR336" s="42"/>
      <c r="AS336" s="42"/>
      <c r="AT336" s="20"/>
      <c r="AU336" s="20"/>
      <c r="AV336" s="20"/>
      <c r="AW336" s="42"/>
      <c r="AX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42"/>
      <c r="AN337" s="20"/>
      <c r="AO337" s="20"/>
      <c r="AP337" s="42"/>
      <c r="AQ337" s="20"/>
      <c r="AR337" s="42"/>
      <c r="AS337" s="42"/>
      <c r="AT337" s="20"/>
      <c r="AU337" s="20"/>
      <c r="AV337" s="20"/>
      <c r="AW337" s="42"/>
      <c r="AX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42"/>
      <c r="AN338" s="20"/>
      <c r="AO338" s="20"/>
      <c r="AP338" s="42"/>
      <c r="AQ338" s="20"/>
      <c r="AR338" s="42"/>
      <c r="AS338" s="42"/>
      <c r="AT338" s="20"/>
      <c r="AU338" s="20"/>
      <c r="AV338" s="20"/>
      <c r="AW338" s="42"/>
      <c r="AX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42"/>
      <c r="AN339" s="20"/>
      <c r="AO339" s="20"/>
      <c r="AP339" s="42"/>
      <c r="AQ339" s="20"/>
      <c r="AR339" s="42"/>
      <c r="AS339" s="42"/>
      <c r="AT339" s="20"/>
      <c r="AU339" s="20"/>
      <c r="AV339" s="20"/>
      <c r="AW339" s="42"/>
      <c r="AX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42"/>
      <c r="AN340" s="20"/>
      <c r="AO340" s="20"/>
      <c r="AP340" s="42"/>
      <c r="AQ340" s="20"/>
      <c r="AR340" s="42"/>
      <c r="AS340" s="42"/>
      <c r="AT340" s="20"/>
      <c r="AU340" s="20"/>
      <c r="AV340" s="20"/>
      <c r="AW340" s="42"/>
      <c r="AX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42"/>
      <c r="AN341" s="20"/>
      <c r="AO341" s="20"/>
      <c r="AP341" s="42"/>
      <c r="AQ341" s="20"/>
      <c r="AR341" s="42"/>
      <c r="AS341" s="42"/>
      <c r="AT341" s="20"/>
      <c r="AU341" s="20"/>
      <c r="AV341" s="20"/>
      <c r="AW341" s="42"/>
      <c r="AX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42"/>
      <c r="AN342" s="20"/>
      <c r="AO342" s="20"/>
      <c r="AP342" s="42"/>
      <c r="AQ342" s="20"/>
      <c r="AR342" s="42"/>
      <c r="AS342" s="42"/>
      <c r="AT342" s="20"/>
      <c r="AU342" s="20"/>
      <c r="AV342" s="20"/>
      <c r="AW342" s="42"/>
      <c r="AX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42"/>
      <c r="AN343" s="20"/>
      <c r="AO343" s="20"/>
      <c r="AP343" s="42"/>
      <c r="AQ343" s="20"/>
      <c r="AR343" s="42"/>
      <c r="AS343" s="42"/>
      <c r="AT343" s="20"/>
      <c r="AU343" s="20"/>
      <c r="AV343" s="20"/>
      <c r="AW343" s="42"/>
      <c r="AX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42"/>
      <c r="AN344" s="20"/>
      <c r="AO344" s="20"/>
      <c r="AP344" s="42"/>
      <c r="AQ344" s="20"/>
      <c r="AR344" s="42"/>
      <c r="AS344" s="42"/>
      <c r="AT344" s="20"/>
      <c r="AU344" s="20"/>
      <c r="AV344" s="20"/>
      <c r="AW344" s="42"/>
      <c r="AX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42"/>
      <c r="AN345" s="20"/>
      <c r="AO345" s="20"/>
      <c r="AP345" s="42"/>
      <c r="AQ345" s="20"/>
      <c r="AR345" s="42"/>
      <c r="AS345" s="42"/>
      <c r="AT345" s="20"/>
      <c r="AU345" s="20"/>
      <c r="AV345" s="20"/>
      <c r="AW345" s="42"/>
      <c r="AX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42"/>
      <c r="AN346" s="20"/>
      <c r="AO346" s="20"/>
      <c r="AP346" s="42"/>
      <c r="AQ346" s="20"/>
      <c r="AR346" s="42"/>
      <c r="AS346" s="42"/>
      <c r="AT346" s="20"/>
      <c r="AU346" s="20"/>
      <c r="AV346" s="20"/>
      <c r="AW346" s="42"/>
      <c r="AX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42"/>
      <c r="AN347" s="20"/>
      <c r="AO347" s="20"/>
      <c r="AP347" s="42"/>
      <c r="AQ347" s="20"/>
      <c r="AR347" s="42"/>
      <c r="AS347" s="42"/>
      <c r="AT347" s="20"/>
      <c r="AU347" s="20"/>
      <c r="AV347" s="20"/>
      <c r="AW347" s="42"/>
      <c r="AX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42"/>
      <c r="AN348" s="20"/>
      <c r="AO348" s="20"/>
      <c r="AP348" s="42"/>
      <c r="AQ348" s="20"/>
      <c r="AR348" s="42"/>
      <c r="AS348" s="42"/>
      <c r="AT348" s="20"/>
      <c r="AU348" s="20"/>
      <c r="AV348" s="20"/>
      <c r="AW348" s="42"/>
      <c r="AX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42"/>
      <c r="AN349" s="20"/>
      <c r="AO349" s="20"/>
      <c r="AP349" s="42"/>
      <c r="AQ349" s="20"/>
      <c r="AR349" s="42"/>
      <c r="AS349" s="42"/>
      <c r="AT349" s="20"/>
      <c r="AU349" s="20"/>
      <c r="AV349" s="20"/>
      <c r="AW349" s="42"/>
      <c r="AX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42"/>
      <c r="AN350" s="20"/>
      <c r="AO350" s="20"/>
      <c r="AP350" s="42"/>
      <c r="AQ350" s="20"/>
      <c r="AR350" s="42"/>
      <c r="AS350" s="42"/>
      <c r="AT350" s="20"/>
      <c r="AU350" s="20"/>
      <c r="AV350" s="20"/>
      <c r="AW350" s="42"/>
      <c r="AX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42"/>
      <c r="AN351" s="20"/>
      <c r="AO351" s="20"/>
      <c r="AP351" s="42"/>
      <c r="AQ351" s="20"/>
      <c r="AR351" s="42"/>
      <c r="AS351" s="42"/>
      <c r="AT351" s="20"/>
      <c r="AU351" s="20"/>
      <c r="AV351" s="20"/>
      <c r="AW351" s="42"/>
      <c r="AX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42"/>
      <c r="AN352" s="20"/>
      <c r="AO352" s="20"/>
      <c r="AP352" s="42"/>
      <c r="AQ352" s="20"/>
      <c r="AR352" s="42"/>
      <c r="AS352" s="42"/>
      <c r="AT352" s="20"/>
      <c r="AU352" s="20"/>
      <c r="AV352" s="20"/>
      <c r="AW352" s="42"/>
      <c r="AX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42"/>
      <c r="AN353" s="20"/>
      <c r="AO353" s="20"/>
      <c r="AP353" s="42"/>
      <c r="AQ353" s="20"/>
      <c r="AR353" s="42"/>
      <c r="AS353" s="42"/>
      <c r="AT353" s="20"/>
      <c r="AU353" s="20"/>
      <c r="AV353" s="20"/>
      <c r="AW353" s="42"/>
      <c r="AX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42"/>
      <c r="AN354" s="20"/>
      <c r="AO354" s="20"/>
      <c r="AP354" s="42"/>
      <c r="AQ354" s="20"/>
      <c r="AR354" s="42"/>
      <c r="AS354" s="42"/>
      <c r="AT354" s="20"/>
      <c r="AU354" s="20"/>
      <c r="AV354" s="20"/>
      <c r="AW354" s="42"/>
      <c r="AX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42"/>
      <c r="AN355" s="20"/>
      <c r="AO355" s="20"/>
      <c r="AP355" s="42"/>
      <c r="AQ355" s="20"/>
      <c r="AR355" s="42"/>
      <c r="AS355" s="42"/>
      <c r="AT355" s="20"/>
      <c r="AU355" s="20"/>
      <c r="AV355" s="20"/>
      <c r="AW355" s="42"/>
      <c r="AX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42"/>
      <c r="AN356" s="20"/>
      <c r="AO356" s="20"/>
      <c r="AP356" s="42"/>
      <c r="AQ356" s="20"/>
      <c r="AR356" s="42"/>
      <c r="AS356" s="42"/>
      <c r="AT356" s="20"/>
      <c r="AU356" s="20"/>
      <c r="AV356" s="20"/>
      <c r="AW356" s="42"/>
      <c r="AX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42"/>
      <c r="AN357" s="20"/>
      <c r="AO357" s="20"/>
      <c r="AP357" s="42"/>
      <c r="AQ357" s="20"/>
      <c r="AR357" s="42"/>
      <c r="AS357" s="42"/>
      <c r="AT357" s="20"/>
      <c r="AU357" s="20"/>
      <c r="AV357" s="20"/>
      <c r="AW357" s="42"/>
      <c r="AX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42"/>
      <c r="AN358" s="20"/>
      <c r="AO358" s="20"/>
      <c r="AP358" s="42"/>
      <c r="AQ358" s="20"/>
      <c r="AR358" s="42"/>
      <c r="AS358" s="42"/>
      <c r="AT358" s="20"/>
      <c r="AU358" s="20"/>
      <c r="AV358" s="20"/>
      <c r="AW358" s="42"/>
      <c r="AX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42"/>
      <c r="AN359" s="20"/>
      <c r="AO359" s="20"/>
      <c r="AP359" s="42"/>
      <c r="AQ359" s="20"/>
      <c r="AR359" s="42"/>
      <c r="AS359" s="42"/>
      <c r="AT359" s="20"/>
      <c r="AU359" s="20"/>
      <c r="AV359" s="20"/>
      <c r="AW359" s="42"/>
      <c r="AX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42"/>
      <c r="AN360" s="20"/>
      <c r="AO360" s="20"/>
      <c r="AP360" s="42"/>
      <c r="AQ360" s="20"/>
      <c r="AR360" s="42"/>
      <c r="AS360" s="42"/>
      <c r="AT360" s="20"/>
      <c r="AU360" s="20"/>
      <c r="AV360" s="20"/>
      <c r="AW360" s="42"/>
      <c r="AX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42"/>
      <c r="AN361" s="20"/>
      <c r="AO361" s="20"/>
      <c r="AP361" s="42"/>
      <c r="AQ361" s="20"/>
      <c r="AR361" s="42"/>
      <c r="AS361" s="42"/>
      <c r="AT361" s="20"/>
      <c r="AU361" s="20"/>
      <c r="AV361" s="20"/>
      <c r="AW361" s="42"/>
      <c r="AX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42"/>
      <c r="AN362" s="20"/>
      <c r="AO362" s="20"/>
      <c r="AP362" s="42"/>
      <c r="AQ362" s="20"/>
      <c r="AR362" s="42"/>
      <c r="AS362" s="42"/>
      <c r="AT362" s="20"/>
      <c r="AU362" s="20"/>
      <c r="AV362" s="20"/>
      <c r="AW362" s="42"/>
      <c r="AX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42"/>
      <c r="AN363" s="20"/>
      <c r="AO363" s="20"/>
      <c r="AP363" s="42"/>
      <c r="AQ363" s="20"/>
      <c r="AR363" s="42"/>
      <c r="AS363" s="42"/>
      <c r="AT363" s="20"/>
      <c r="AU363" s="20"/>
      <c r="AV363" s="20"/>
      <c r="AW363" s="42"/>
      <c r="AX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42"/>
      <c r="AN364" s="20"/>
      <c r="AO364" s="20"/>
      <c r="AP364" s="42"/>
      <c r="AQ364" s="20"/>
      <c r="AR364" s="42"/>
      <c r="AS364" s="42"/>
      <c r="AT364" s="20"/>
      <c r="AU364" s="20"/>
      <c r="AV364" s="20"/>
      <c r="AW364" s="42"/>
      <c r="AX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42"/>
      <c r="AN365" s="20"/>
      <c r="AO365" s="20"/>
      <c r="AP365" s="42"/>
      <c r="AQ365" s="20"/>
      <c r="AR365" s="42"/>
      <c r="AS365" s="42"/>
      <c r="AT365" s="20"/>
      <c r="AU365" s="20"/>
      <c r="AV365" s="20"/>
      <c r="AW365" s="42"/>
      <c r="AX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42"/>
      <c r="AN366" s="20"/>
      <c r="AO366" s="20"/>
      <c r="AP366" s="42"/>
      <c r="AQ366" s="20"/>
      <c r="AR366" s="42"/>
      <c r="AS366" s="42"/>
      <c r="AT366" s="20"/>
      <c r="AU366" s="20"/>
      <c r="AV366" s="20"/>
      <c r="AW366" s="42"/>
      <c r="AX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42"/>
      <c r="AN367" s="20"/>
      <c r="AO367" s="20"/>
      <c r="AP367" s="42"/>
      <c r="AQ367" s="20"/>
      <c r="AR367" s="42"/>
      <c r="AS367" s="42"/>
      <c r="AT367" s="20"/>
      <c r="AU367" s="20"/>
      <c r="AV367" s="20"/>
      <c r="AW367" s="42"/>
      <c r="AX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42"/>
      <c r="AN368" s="20"/>
      <c r="AO368" s="20"/>
      <c r="AP368" s="42"/>
      <c r="AQ368" s="20"/>
      <c r="AR368" s="42"/>
      <c r="AS368" s="42"/>
      <c r="AT368" s="20"/>
      <c r="AU368" s="20"/>
      <c r="AV368" s="20"/>
      <c r="AW368" s="42"/>
      <c r="AX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42"/>
      <c r="AN369" s="20"/>
      <c r="AO369" s="20"/>
      <c r="AP369" s="42"/>
      <c r="AQ369" s="20"/>
      <c r="AR369" s="42"/>
      <c r="AS369" s="42"/>
      <c r="AT369" s="20"/>
      <c r="AU369" s="20"/>
      <c r="AV369" s="20"/>
      <c r="AW369" s="42"/>
      <c r="AX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42"/>
      <c r="AN370" s="20"/>
      <c r="AO370" s="20"/>
      <c r="AP370" s="42"/>
      <c r="AQ370" s="20"/>
      <c r="AR370" s="42"/>
      <c r="AS370" s="42"/>
      <c r="AT370" s="20"/>
      <c r="AU370" s="20"/>
      <c r="AV370" s="20"/>
      <c r="AW370" s="42"/>
      <c r="AX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42"/>
      <c r="AN371" s="20"/>
      <c r="AO371" s="20"/>
      <c r="AP371" s="42"/>
      <c r="AQ371" s="20"/>
      <c r="AR371" s="42"/>
      <c r="AS371" s="42"/>
      <c r="AT371" s="20"/>
      <c r="AU371" s="20"/>
      <c r="AV371" s="20"/>
      <c r="AW371" s="42"/>
      <c r="AX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42"/>
      <c r="AN372" s="20"/>
      <c r="AO372" s="20"/>
      <c r="AP372" s="42"/>
      <c r="AQ372" s="20"/>
      <c r="AR372" s="42"/>
      <c r="AS372" s="42"/>
      <c r="AT372" s="20"/>
      <c r="AU372" s="20"/>
      <c r="AV372" s="20"/>
      <c r="AW372" s="42"/>
      <c r="AX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42"/>
      <c r="AN373" s="20"/>
      <c r="AO373" s="20"/>
      <c r="AP373" s="42"/>
      <c r="AQ373" s="20"/>
      <c r="AR373" s="42"/>
      <c r="AS373" s="42"/>
      <c r="AT373" s="20"/>
      <c r="AU373" s="20"/>
      <c r="AV373" s="20"/>
      <c r="AW373" s="42"/>
      <c r="AX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42"/>
      <c r="AN374" s="20"/>
      <c r="AO374" s="20"/>
      <c r="AP374" s="42"/>
      <c r="AQ374" s="20"/>
      <c r="AR374" s="42"/>
      <c r="AS374" s="42"/>
      <c r="AT374" s="20"/>
      <c r="AU374" s="20"/>
      <c r="AV374" s="20"/>
      <c r="AW374" s="42"/>
      <c r="AX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42"/>
      <c r="AN375" s="20"/>
      <c r="AO375" s="20"/>
      <c r="AP375" s="42"/>
      <c r="AQ375" s="20"/>
      <c r="AR375" s="42"/>
      <c r="AS375" s="42"/>
      <c r="AT375" s="20"/>
      <c r="AU375" s="20"/>
      <c r="AV375" s="20"/>
      <c r="AW375" s="42"/>
      <c r="AX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42"/>
      <c r="AN376" s="20"/>
      <c r="AO376" s="20"/>
      <c r="AP376" s="42"/>
      <c r="AQ376" s="20"/>
      <c r="AR376" s="42"/>
      <c r="AS376" s="42"/>
      <c r="AT376" s="20"/>
      <c r="AU376" s="20"/>
      <c r="AV376" s="20"/>
      <c r="AW376" s="42"/>
      <c r="AX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42"/>
      <c r="AN377" s="20"/>
      <c r="AO377" s="20"/>
      <c r="AP377" s="42"/>
      <c r="AQ377" s="20"/>
      <c r="AR377" s="42"/>
      <c r="AS377" s="42"/>
      <c r="AT377" s="20"/>
      <c r="AU377" s="20"/>
      <c r="AV377" s="20"/>
      <c r="AW377" s="42"/>
      <c r="AX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42"/>
      <c r="AN378" s="20"/>
      <c r="AO378" s="20"/>
      <c r="AP378" s="42"/>
      <c r="AQ378" s="20"/>
      <c r="AR378" s="42"/>
      <c r="AS378" s="42"/>
      <c r="AT378" s="20"/>
      <c r="AU378" s="20"/>
      <c r="AV378" s="20"/>
      <c r="AW378" s="42"/>
      <c r="AX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42"/>
      <c r="AN379" s="20"/>
      <c r="AO379" s="20"/>
      <c r="AP379" s="42"/>
      <c r="AQ379" s="20"/>
      <c r="AR379" s="42"/>
      <c r="AS379" s="42"/>
      <c r="AT379" s="20"/>
      <c r="AU379" s="20"/>
      <c r="AV379" s="20"/>
      <c r="AW379" s="42"/>
      <c r="AX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42"/>
      <c r="AN380" s="20"/>
      <c r="AO380" s="20"/>
      <c r="AP380" s="42"/>
      <c r="AQ380" s="20"/>
      <c r="AR380" s="42"/>
      <c r="AS380" s="42"/>
      <c r="AT380" s="20"/>
      <c r="AU380" s="20"/>
      <c r="AV380" s="20"/>
      <c r="AW380" s="42"/>
      <c r="AX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42"/>
      <c r="AN381" s="20"/>
      <c r="AO381" s="20"/>
      <c r="AP381" s="42"/>
      <c r="AQ381" s="20"/>
      <c r="AR381" s="42"/>
      <c r="AS381" s="42"/>
      <c r="AT381" s="20"/>
      <c r="AU381" s="20"/>
      <c r="AV381" s="20"/>
      <c r="AW381" s="42"/>
      <c r="AX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42"/>
      <c r="AN382" s="20"/>
      <c r="AO382" s="20"/>
      <c r="AP382" s="42"/>
      <c r="AQ382" s="20"/>
      <c r="AR382" s="42"/>
      <c r="AS382" s="42"/>
      <c r="AT382" s="20"/>
      <c r="AU382" s="20"/>
      <c r="AV382" s="20"/>
      <c r="AW382" s="42"/>
      <c r="AX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42"/>
      <c r="AN383" s="20"/>
      <c r="AO383" s="20"/>
      <c r="AP383" s="42"/>
      <c r="AQ383" s="20"/>
      <c r="AR383" s="42"/>
      <c r="AS383" s="42"/>
      <c r="AT383" s="20"/>
      <c r="AU383" s="20"/>
      <c r="AV383" s="20"/>
      <c r="AW383" s="42"/>
      <c r="AX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42"/>
      <c r="AN384" s="20"/>
      <c r="AO384" s="20"/>
      <c r="AP384" s="42"/>
      <c r="AQ384" s="20"/>
      <c r="AR384" s="42"/>
      <c r="AS384" s="42"/>
      <c r="AT384" s="20"/>
      <c r="AU384" s="20"/>
      <c r="AV384" s="20"/>
      <c r="AW384" s="42"/>
      <c r="AX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42"/>
      <c r="AN385" s="20"/>
      <c r="AO385" s="20"/>
      <c r="AP385" s="42"/>
      <c r="AQ385" s="20"/>
      <c r="AR385" s="42"/>
      <c r="AS385" s="42"/>
      <c r="AT385" s="20"/>
      <c r="AU385" s="20"/>
      <c r="AV385" s="20"/>
      <c r="AW385" s="42"/>
      <c r="AX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42"/>
      <c r="AN386" s="20"/>
      <c r="AO386" s="20"/>
      <c r="AP386" s="42"/>
      <c r="AQ386" s="20"/>
      <c r="AR386" s="42"/>
      <c r="AS386" s="42"/>
      <c r="AT386" s="20"/>
      <c r="AU386" s="20"/>
      <c r="AV386" s="20"/>
      <c r="AW386" s="42"/>
      <c r="AX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42"/>
      <c r="AN387" s="20"/>
      <c r="AO387" s="20"/>
      <c r="AP387" s="42"/>
      <c r="AQ387" s="20"/>
      <c r="AR387" s="42"/>
      <c r="AS387" s="42"/>
      <c r="AT387" s="20"/>
      <c r="AU387" s="20"/>
      <c r="AV387" s="20"/>
      <c r="AW387" s="42"/>
      <c r="AX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42"/>
      <c r="AN388" s="20"/>
      <c r="AO388" s="20"/>
      <c r="AP388" s="42"/>
      <c r="AQ388" s="20"/>
      <c r="AR388" s="42"/>
      <c r="AS388" s="42"/>
      <c r="AT388" s="20"/>
      <c r="AU388" s="20"/>
      <c r="AV388" s="20"/>
      <c r="AW388" s="42"/>
      <c r="AX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42"/>
      <c r="AN389" s="20"/>
      <c r="AO389" s="20"/>
      <c r="AP389" s="42"/>
      <c r="AQ389" s="20"/>
      <c r="AR389" s="42"/>
      <c r="AS389" s="42"/>
      <c r="AT389" s="20"/>
      <c r="AU389" s="20"/>
      <c r="AV389" s="20"/>
      <c r="AW389" s="42"/>
      <c r="AX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42"/>
      <c r="AN390" s="20"/>
      <c r="AO390" s="20"/>
      <c r="AP390" s="42"/>
      <c r="AQ390" s="20"/>
      <c r="AR390" s="42"/>
      <c r="AS390" s="42"/>
      <c r="AT390" s="20"/>
      <c r="AU390" s="20"/>
      <c r="AV390" s="20"/>
      <c r="AW390" s="42"/>
      <c r="AX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42"/>
      <c r="AN391" s="20"/>
      <c r="AO391" s="20"/>
      <c r="AP391" s="42"/>
      <c r="AQ391" s="20"/>
      <c r="AR391" s="42"/>
      <c r="AS391" s="42"/>
      <c r="AT391" s="20"/>
      <c r="AU391" s="20"/>
      <c r="AV391" s="20"/>
      <c r="AW391" s="42"/>
      <c r="AX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42"/>
      <c r="AN392" s="20"/>
      <c r="AO392" s="20"/>
      <c r="AP392" s="42"/>
      <c r="AQ392" s="20"/>
      <c r="AR392" s="42"/>
      <c r="AS392" s="42"/>
      <c r="AT392" s="20"/>
      <c r="AU392" s="20"/>
      <c r="AV392" s="20"/>
      <c r="AW392" s="42"/>
      <c r="AX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42"/>
      <c r="AN393" s="20"/>
      <c r="AO393" s="20"/>
      <c r="AP393" s="42"/>
      <c r="AQ393" s="20"/>
      <c r="AR393" s="42"/>
      <c r="AS393" s="42"/>
      <c r="AT393" s="20"/>
      <c r="AU393" s="20"/>
      <c r="AV393" s="20"/>
      <c r="AW393" s="42"/>
      <c r="AX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42"/>
      <c r="AN394" s="20"/>
      <c r="AO394" s="20"/>
      <c r="AP394" s="42"/>
      <c r="AQ394" s="20"/>
      <c r="AR394" s="42"/>
      <c r="AS394" s="42"/>
      <c r="AT394" s="20"/>
      <c r="AU394" s="20"/>
      <c r="AV394" s="20"/>
      <c r="AW394" s="42"/>
      <c r="AX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42"/>
      <c r="AN395" s="20"/>
      <c r="AO395" s="20"/>
      <c r="AP395" s="42"/>
      <c r="AQ395" s="20"/>
      <c r="AR395" s="42"/>
      <c r="AS395" s="42"/>
      <c r="AT395" s="20"/>
      <c r="AU395" s="20"/>
      <c r="AV395" s="20"/>
      <c r="AW395" s="42"/>
      <c r="AX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42"/>
      <c r="AN396" s="20"/>
      <c r="AO396" s="20"/>
      <c r="AP396" s="42"/>
      <c r="AQ396" s="20"/>
      <c r="AR396" s="42"/>
      <c r="AS396" s="42"/>
      <c r="AT396" s="20"/>
      <c r="AU396" s="20"/>
      <c r="AV396" s="20"/>
      <c r="AW396" s="42"/>
      <c r="AX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42"/>
      <c r="AN397" s="20"/>
      <c r="AO397" s="20"/>
      <c r="AP397" s="42"/>
      <c r="AQ397" s="20"/>
      <c r="AR397" s="42"/>
      <c r="AS397" s="42"/>
      <c r="AT397" s="20"/>
      <c r="AU397" s="20"/>
      <c r="AV397" s="20"/>
      <c r="AW397" s="42"/>
      <c r="AX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42"/>
      <c r="AN398" s="20"/>
      <c r="AO398" s="20"/>
      <c r="AP398" s="42"/>
      <c r="AQ398" s="20"/>
      <c r="AR398" s="42"/>
      <c r="AS398" s="42"/>
      <c r="AT398" s="20"/>
      <c r="AU398" s="20"/>
      <c r="AV398" s="20"/>
      <c r="AW398" s="42"/>
      <c r="AX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42"/>
      <c r="AN399" s="20"/>
      <c r="AO399" s="20"/>
      <c r="AP399" s="42"/>
      <c r="AQ399" s="20"/>
      <c r="AR399" s="42"/>
      <c r="AS399" s="42"/>
      <c r="AT399" s="20"/>
      <c r="AU399" s="20"/>
      <c r="AV399" s="20"/>
      <c r="AW399" s="42"/>
      <c r="AX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42"/>
      <c r="AN400" s="20"/>
      <c r="AO400" s="20"/>
      <c r="AP400" s="42"/>
      <c r="AQ400" s="20"/>
      <c r="AR400" s="42"/>
      <c r="AS400" s="42"/>
      <c r="AT400" s="20"/>
      <c r="AU400" s="20"/>
      <c r="AV400" s="20"/>
      <c r="AW400" s="42"/>
      <c r="AX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42"/>
      <c r="AN401" s="20"/>
      <c r="AO401" s="20"/>
      <c r="AP401" s="42"/>
      <c r="AQ401" s="20"/>
      <c r="AR401" s="42"/>
      <c r="AS401" s="42"/>
      <c r="AT401" s="20"/>
      <c r="AU401" s="20"/>
      <c r="AV401" s="20"/>
      <c r="AW401" s="42"/>
      <c r="AX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42"/>
      <c r="AN402" s="20"/>
      <c r="AO402" s="20"/>
      <c r="AP402" s="42"/>
      <c r="AQ402" s="20"/>
      <c r="AR402" s="42"/>
      <c r="AS402" s="42"/>
      <c r="AT402" s="20"/>
      <c r="AU402" s="20"/>
      <c r="AV402" s="20"/>
      <c r="AW402" s="42"/>
      <c r="AX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42"/>
      <c r="AN403" s="20"/>
      <c r="AO403" s="20"/>
      <c r="AP403" s="42"/>
      <c r="AQ403" s="20"/>
      <c r="AR403" s="42"/>
      <c r="AS403" s="42"/>
      <c r="AT403" s="20"/>
      <c r="AU403" s="20"/>
      <c r="AV403" s="20"/>
      <c r="AW403" s="42"/>
      <c r="AX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42"/>
      <c r="AN404" s="20"/>
      <c r="AO404" s="20"/>
      <c r="AP404" s="42"/>
      <c r="AQ404" s="20"/>
      <c r="AR404" s="42"/>
      <c r="AS404" s="42"/>
      <c r="AT404" s="20"/>
      <c r="AU404" s="20"/>
      <c r="AV404" s="20"/>
      <c r="AW404" s="42"/>
      <c r="AX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42"/>
      <c r="AN405" s="20"/>
      <c r="AO405" s="20"/>
      <c r="AP405" s="42"/>
      <c r="AQ405" s="20"/>
      <c r="AR405" s="42"/>
      <c r="AS405" s="42"/>
      <c r="AT405" s="20"/>
      <c r="AU405" s="20"/>
      <c r="AV405" s="20"/>
      <c r="AW405" s="42"/>
      <c r="AX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42"/>
      <c r="AN406" s="20"/>
      <c r="AO406" s="20"/>
      <c r="AP406" s="42"/>
      <c r="AQ406" s="20"/>
      <c r="AR406" s="42"/>
      <c r="AS406" s="42"/>
      <c r="AT406" s="20"/>
      <c r="AU406" s="20"/>
      <c r="AV406" s="20"/>
      <c r="AW406" s="42"/>
      <c r="AX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42"/>
      <c r="AN407" s="20"/>
      <c r="AO407" s="20"/>
      <c r="AP407" s="42"/>
      <c r="AQ407" s="20"/>
      <c r="AR407" s="42"/>
      <c r="AS407" s="42"/>
      <c r="AT407" s="20"/>
      <c r="AU407" s="20"/>
      <c r="AV407" s="20"/>
      <c r="AW407" s="42"/>
      <c r="AX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42"/>
      <c r="AN408" s="20"/>
      <c r="AO408" s="20"/>
      <c r="AP408" s="42"/>
      <c r="AQ408" s="20"/>
      <c r="AR408" s="42"/>
      <c r="AS408" s="42"/>
      <c r="AT408" s="20"/>
      <c r="AU408" s="20"/>
      <c r="AV408" s="20"/>
      <c r="AW408" s="42"/>
      <c r="AX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42"/>
      <c r="AN409" s="20"/>
      <c r="AO409" s="20"/>
      <c r="AP409" s="42"/>
      <c r="AQ409" s="20"/>
      <c r="AR409" s="42"/>
      <c r="AS409" s="42"/>
      <c r="AT409" s="20"/>
      <c r="AU409" s="20"/>
      <c r="AV409" s="20"/>
      <c r="AW409" s="42"/>
      <c r="AX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42"/>
      <c r="AN410" s="20"/>
      <c r="AO410" s="20"/>
      <c r="AP410" s="42"/>
      <c r="AQ410" s="20"/>
      <c r="AR410" s="42"/>
      <c r="AS410" s="42"/>
      <c r="AT410" s="20"/>
      <c r="AU410" s="20"/>
      <c r="AV410" s="20"/>
      <c r="AW410" s="42"/>
      <c r="AX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42"/>
      <c r="AN411" s="20"/>
      <c r="AO411" s="20"/>
      <c r="AP411" s="42"/>
      <c r="AQ411" s="20"/>
      <c r="AR411" s="42"/>
      <c r="AS411" s="42"/>
      <c r="AT411" s="20"/>
      <c r="AU411" s="20"/>
      <c r="AV411" s="20"/>
      <c r="AW411" s="42"/>
      <c r="AX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42"/>
      <c r="AN412" s="20"/>
      <c r="AO412" s="20"/>
      <c r="AP412" s="42"/>
      <c r="AQ412" s="20"/>
      <c r="AR412" s="42"/>
      <c r="AS412" s="42"/>
      <c r="AT412" s="20"/>
      <c r="AU412" s="20"/>
      <c r="AV412" s="20"/>
      <c r="AW412" s="42"/>
      <c r="AX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42"/>
      <c r="AN413" s="20"/>
      <c r="AO413" s="20"/>
      <c r="AP413" s="42"/>
      <c r="AQ413" s="20"/>
      <c r="AR413" s="42"/>
      <c r="AS413" s="42"/>
      <c r="AT413" s="20"/>
      <c r="AU413" s="20"/>
      <c r="AV413" s="20"/>
      <c r="AW413" s="42"/>
      <c r="AX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42"/>
      <c r="AN414" s="20"/>
      <c r="AO414" s="20"/>
      <c r="AP414" s="42"/>
      <c r="AQ414" s="20"/>
      <c r="AR414" s="42"/>
      <c r="AS414" s="42"/>
      <c r="AT414" s="20"/>
      <c r="AU414" s="20"/>
      <c r="AV414" s="20"/>
      <c r="AW414" s="42"/>
      <c r="AX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42"/>
      <c r="AN415" s="20"/>
      <c r="AO415" s="20"/>
      <c r="AP415" s="42"/>
      <c r="AQ415" s="20"/>
      <c r="AR415" s="42"/>
      <c r="AS415" s="42"/>
      <c r="AT415" s="20"/>
      <c r="AU415" s="20"/>
      <c r="AV415" s="20"/>
      <c r="AW415" s="42"/>
      <c r="AX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42"/>
      <c r="AN416" s="20"/>
      <c r="AO416" s="20"/>
      <c r="AP416" s="42"/>
      <c r="AQ416" s="20"/>
      <c r="AR416" s="42"/>
      <c r="AS416" s="42"/>
      <c r="AT416" s="20"/>
      <c r="AU416" s="20"/>
      <c r="AV416" s="20"/>
      <c r="AW416" s="42"/>
      <c r="AX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42"/>
      <c r="AN417" s="20"/>
      <c r="AO417" s="20"/>
      <c r="AP417" s="42"/>
      <c r="AQ417" s="20"/>
      <c r="AR417" s="42"/>
      <c r="AS417" s="42"/>
      <c r="AT417" s="20"/>
      <c r="AU417" s="20"/>
      <c r="AV417" s="20"/>
      <c r="AW417" s="42"/>
      <c r="AX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42"/>
      <c r="AN418" s="20"/>
      <c r="AO418" s="20"/>
      <c r="AP418" s="42"/>
      <c r="AQ418" s="20"/>
      <c r="AR418" s="42"/>
      <c r="AS418" s="42"/>
      <c r="AT418" s="20"/>
      <c r="AU418" s="20"/>
      <c r="AV418" s="20"/>
      <c r="AW418" s="42"/>
      <c r="AX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42"/>
      <c r="AN419" s="20"/>
      <c r="AO419" s="20"/>
      <c r="AP419" s="42"/>
      <c r="AQ419" s="20"/>
      <c r="AR419" s="42"/>
      <c r="AS419" s="42"/>
      <c r="AT419" s="20"/>
      <c r="AU419" s="20"/>
      <c r="AV419" s="20"/>
      <c r="AW419" s="42"/>
      <c r="AX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42"/>
      <c r="AN420" s="20"/>
      <c r="AO420" s="20"/>
      <c r="AP420" s="42"/>
      <c r="AQ420" s="20"/>
      <c r="AR420" s="42"/>
      <c r="AS420" s="42"/>
      <c r="AT420" s="20"/>
      <c r="AU420" s="20"/>
      <c r="AV420" s="20"/>
      <c r="AW420" s="42"/>
      <c r="AX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42"/>
      <c r="AN421" s="20"/>
      <c r="AO421" s="20"/>
      <c r="AP421" s="42"/>
      <c r="AQ421" s="20"/>
      <c r="AR421" s="42"/>
      <c r="AS421" s="42"/>
      <c r="AT421" s="20"/>
      <c r="AU421" s="20"/>
      <c r="AV421" s="20"/>
      <c r="AW421" s="42"/>
      <c r="AX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42"/>
      <c r="AN422" s="20"/>
      <c r="AO422" s="20"/>
      <c r="AP422" s="42"/>
      <c r="AQ422" s="20"/>
      <c r="AR422" s="42"/>
      <c r="AS422" s="42"/>
      <c r="AT422" s="20"/>
      <c r="AU422" s="20"/>
      <c r="AV422" s="20"/>
      <c r="AW422" s="42"/>
      <c r="AX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42"/>
      <c r="AN423" s="20"/>
      <c r="AO423" s="20"/>
      <c r="AP423" s="42"/>
      <c r="AQ423" s="20"/>
      <c r="AR423" s="42"/>
      <c r="AS423" s="42"/>
      <c r="AT423" s="20"/>
      <c r="AU423" s="20"/>
      <c r="AV423" s="20"/>
      <c r="AW423" s="42"/>
      <c r="AX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42"/>
      <c r="AN424" s="20"/>
      <c r="AO424" s="20"/>
      <c r="AP424" s="42"/>
      <c r="AQ424" s="20"/>
      <c r="AR424" s="42"/>
      <c r="AS424" s="42"/>
      <c r="AT424" s="20"/>
      <c r="AU424" s="20"/>
      <c r="AV424" s="20"/>
      <c r="AW424" s="42"/>
      <c r="AX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42"/>
      <c r="AN425" s="20"/>
      <c r="AO425" s="20"/>
      <c r="AP425" s="42"/>
      <c r="AQ425" s="20"/>
      <c r="AR425" s="42"/>
      <c r="AS425" s="42"/>
      <c r="AT425" s="20"/>
      <c r="AU425" s="20"/>
      <c r="AV425" s="20"/>
      <c r="AW425" s="42"/>
      <c r="AX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42"/>
      <c r="AN426" s="20"/>
      <c r="AO426" s="20"/>
      <c r="AP426" s="42"/>
      <c r="AQ426" s="20"/>
      <c r="AR426" s="42"/>
      <c r="AS426" s="42"/>
      <c r="AT426" s="20"/>
      <c r="AU426" s="20"/>
      <c r="AV426" s="20"/>
      <c r="AW426" s="42"/>
      <c r="AX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42"/>
      <c r="AN427" s="20"/>
      <c r="AO427" s="20"/>
      <c r="AP427" s="42"/>
      <c r="AQ427" s="20"/>
      <c r="AR427" s="42"/>
      <c r="AS427" s="42"/>
      <c r="AT427" s="20"/>
      <c r="AU427" s="20"/>
      <c r="AV427" s="20"/>
      <c r="AW427" s="42"/>
      <c r="AX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42"/>
      <c r="AN428" s="20"/>
      <c r="AO428" s="20"/>
      <c r="AP428" s="42"/>
      <c r="AQ428" s="20"/>
      <c r="AR428" s="42"/>
      <c r="AS428" s="42"/>
      <c r="AT428" s="20"/>
      <c r="AU428" s="20"/>
      <c r="AV428" s="20"/>
      <c r="AW428" s="42"/>
      <c r="AX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42"/>
      <c r="AN429" s="20"/>
      <c r="AO429" s="20"/>
      <c r="AP429" s="42"/>
      <c r="AQ429" s="20"/>
      <c r="AR429" s="42"/>
      <c r="AS429" s="42"/>
      <c r="AT429" s="20"/>
      <c r="AU429" s="20"/>
      <c r="AV429" s="20"/>
      <c r="AW429" s="42"/>
      <c r="AX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42"/>
      <c r="AN430" s="20"/>
      <c r="AO430" s="20"/>
      <c r="AP430" s="42"/>
      <c r="AQ430" s="20"/>
      <c r="AR430" s="42"/>
      <c r="AS430" s="42"/>
      <c r="AT430" s="20"/>
      <c r="AU430" s="20"/>
      <c r="AV430" s="20"/>
      <c r="AW430" s="42"/>
      <c r="AX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42"/>
      <c r="AN431" s="20"/>
      <c r="AO431" s="20"/>
      <c r="AP431" s="42"/>
      <c r="AQ431" s="20"/>
      <c r="AR431" s="42"/>
      <c r="AS431" s="42"/>
      <c r="AT431" s="20"/>
      <c r="AU431" s="20"/>
      <c r="AV431" s="20"/>
      <c r="AW431" s="42"/>
      <c r="AX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42"/>
      <c r="AN432" s="20"/>
      <c r="AO432" s="20"/>
      <c r="AP432" s="42"/>
      <c r="AQ432" s="20"/>
      <c r="AR432" s="42"/>
      <c r="AS432" s="42"/>
      <c r="AT432" s="20"/>
      <c r="AU432" s="20"/>
      <c r="AV432" s="20"/>
      <c r="AW432" s="42"/>
      <c r="AX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42"/>
      <c r="AN433" s="20"/>
      <c r="AO433" s="20"/>
      <c r="AP433" s="42"/>
      <c r="AQ433" s="20"/>
      <c r="AR433" s="42"/>
      <c r="AS433" s="42"/>
      <c r="AT433" s="20"/>
      <c r="AU433" s="20"/>
      <c r="AV433" s="20"/>
      <c r="AW433" s="42"/>
      <c r="AX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42"/>
      <c r="AN434" s="20"/>
      <c r="AO434" s="20"/>
      <c r="AP434" s="42"/>
      <c r="AQ434" s="20"/>
      <c r="AR434" s="42"/>
      <c r="AS434" s="42"/>
      <c r="AT434" s="20"/>
      <c r="AU434" s="20"/>
      <c r="AV434" s="20"/>
      <c r="AW434" s="42"/>
      <c r="AX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42"/>
      <c r="AN435" s="20"/>
      <c r="AO435" s="20"/>
      <c r="AP435" s="42"/>
      <c r="AQ435" s="20"/>
      <c r="AR435" s="42"/>
      <c r="AS435" s="42"/>
      <c r="AT435" s="20"/>
      <c r="AU435" s="20"/>
      <c r="AV435" s="20"/>
      <c r="AW435" s="42"/>
      <c r="AX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42"/>
      <c r="AN436" s="20"/>
      <c r="AO436" s="20"/>
      <c r="AP436" s="42"/>
      <c r="AQ436" s="20"/>
      <c r="AR436" s="42"/>
      <c r="AS436" s="42"/>
      <c r="AT436" s="20"/>
      <c r="AU436" s="20"/>
      <c r="AV436" s="20"/>
      <c r="AW436" s="42"/>
      <c r="AX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42"/>
      <c r="AN437" s="20"/>
      <c r="AO437" s="20"/>
      <c r="AP437" s="42"/>
      <c r="AQ437" s="20"/>
      <c r="AR437" s="42"/>
      <c r="AS437" s="42"/>
      <c r="AT437" s="20"/>
      <c r="AU437" s="20"/>
      <c r="AV437" s="20"/>
      <c r="AW437" s="42"/>
      <c r="AX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42"/>
      <c r="AN438" s="20"/>
      <c r="AO438" s="20"/>
      <c r="AP438" s="42"/>
      <c r="AQ438" s="20"/>
      <c r="AR438" s="42"/>
      <c r="AS438" s="42"/>
      <c r="AT438" s="20"/>
      <c r="AU438" s="20"/>
      <c r="AV438" s="20"/>
      <c r="AW438" s="42"/>
      <c r="AX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42"/>
      <c r="AN439" s="20"/>
      <c r="AO439" s="20"/>
      <c r="AP439" s="42"/>
      <c r="AQ439" s="20"/>
      <c r="AR439" s="42"/>
      <c r="AS439" s="42"/>
      <c r="AT439" s="20"/>
      <c r="AU439" s="20"/>
      <c r="AV439" s="20"/>
      <c r="AW439" s="42"/>
      <c r="AX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42"/>
      <c r="AN440" s="20"/>
      <c r="AO440" s="20"/>
      <c r="AP440" s="42"/>
      <c r="AQ440" s="20"/>
      <c r="AR440" s="42"/>
      <c r="AS440" s="42"/>
      <c r="AT440" s="20"/>
      <c r="AU440" s="20"/>
      <c r="AV440" s="20"/>
      <c r="AW440" s="42"/>
      <c r="AX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42"/>
      <c r="AN441" s="20"/>
      <c r="AO441" s="20"/>
      <c r="AP441" s="42"/>
      <c r="AQ441" s="20"/>
      <c r="AR441" s="42"/>
      <c r="AS441" s="42"/>
      <c r="AT441" s="20"/>
      <c r="AU441" s="20"/>
      <c r="AV441" s="20"/>
      <c r="AW441" s="42"/>
      <c r="AX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42"/>
      <c r="AN442" s="20"/>
      <c r="AO442" s="20"/>
      <c r="AP442" s="42"/>
      <c r="AQ442" s="20"/>
      <c r="AR442" s="42"/>
      <c r="AS442" s="42"/>
      <c r="AT442" s="20"/>
      <c r="AU442" s="20"/>
      <c r="AV442" s="20"/>
      <c r="AW442" s="42"/>
      <c r="AX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42"/>
      <c r="AN443" s="20"/>
      <c r="AO443" s="20"/>
      <c r="AP443" s="42"/>
      <c r="AQ443" s="20"/>
      <c r="AR443" s="42"/>
      <c r="AS443" s="42"/>
      <c r="AT443" s="20"/>
      <c r="AU443" s="20"/>
      <c r="AV443" s="20"/>
      <c r="AW443" s="42"/>
      <c r="AX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42"/>
      <c r="AN444" s="20"/>
      <c r="AO444" s="20"/>
      <c r="AP444" s="42"/>
      <c r="AQ444" s="20"/>
      <c r="AR444" s="42"/>
      <c r="AS444" s="42"/>
      <c r="AT444" s="20"/>
      <c r="AU444" s="20"/>
      <c r="AV444" s="20"/>
      <c r="AW444" s="42"/>
      <c r="AX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42"/>
      <c r="AN445" s="20"/>
      <c r="AO445" s="20"/>
      <c r="AP445" s="42"/>
      <c r="AQ445" s="20"/>
      <c r="AR445" s="42"/>
      <c r="AS445" s="42"/>
      <c r="AT445" s="20"/>
      <c r="AU445" s="20"/>
      <c r="AV445" s="20"/>
      <c r="AW445" s="42"/>
      <c r="AX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42"/>
      <c r="AN446" s="20"/>
      <c r="AO446" s="20"/>
      <c r="AP446" s="42"/>
      <c r="AQ446" s="20"/>
      <c r="AR446" s="42"/>
      <c r="AS446" s="42"/>
      <c r="AT446" s="20"/>
      <c r="AU446" s="20"/>
      <c r="AV446" s="20"/>
      <c r="AW446" s="42"/>
      <c r="AX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42"/>
      <c r="AN447" s="20"/>
      <c r="AO447" s="20"/>
      <c r="AP447" s="42"/>
      <c r="AQ447" s="20"/>
      <c r="AR447" s="42"/>
      <c r="AS447" s="42"/>
      <c r="AT447" s="20"/>
      <c r="AU447" s="20"/>
      <c r="AV447" s="20"/>
      <c r="AW447" s="42"/>
      <c r="AX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42"/>
      <c r="AN448" s="20"/>
      <c r="AO448" s="20"/>
      <c r="AP448" s="42"/>
      <c r="AQ448" s="20"/>
      <c r="AR448" s="42"/>
      <c r="AS448" s="42"/>
      <c r="AT448" s="20"/>
      <c r="AU448" s="20"/>
      <c r="AV448" s="20"/>
      <c r="AW448" s="42"/>
      <c r="AX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42"/>
      <c r="AN449" s="20"/>
      <c r="AO449" s="20"/>
      <c r="AP449" s="42"/>
      <c r="AQ449" s="20"/>
      <c r="AR449" s="42"/>
      <c r="AS449" s="42"/>
      <c r="AT449" s="20"/>
      <c r="AU449" s="20"/>
      <c r="AV449" s="20"/>
      <c r="AW449" s="42"/>
      <c r="AX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42"/>
      <c r="AN450" s="20"/>
      <c r="AO450" s="20"/>
      <c r="AP450" s="42"/>
      <c r="AQ450" s="20"/>
      <c r="AR450" s="42"/>
      <c r="AS450" s="42"/>
      <c r="AT450" s="20"/>
      <c r="AU450" s="20"/>
      <c r="AV450" s="20"/>
      <c r="AW450" s="42"/>
      <c r="AX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42"/>
      <c r="AN451" s="20"/>
      <c r="AO451" s="20"/>
      <c r="AP451" s="42"/>
      <c r="AQ451" s="20"/>
      <c r="AR451" s="42"/>
      <c r="AS451" s="42"/>
      <c r="AT451" s="20"/>
      <c r="AU451" s="20"/>
      <c r="AV451" s="20"/>
      <c r="AW451" s="42"/>
      <c r="AX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42"/>
      <c r="AN452" s="20"/>
      <c r="AO452" s="20"/>
      <c r="AP452" s="42"/>
      <c r="AQ452" s="20"/>
      <c r="AR452" s="42"/>
      <c r="AS452" s="42"/>
      <c r="AT452" s="20"/>
      <c r="AU452" s="20"/>
      <c r="AV452" s="20"/>
      <c r="AW452" s="42"/>
      <c r="AX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42"/>
      <c r="AN453" s="20"/>
      <c r="AO453" s="20"/>
      <c r="AP453" s="42"/>
      <c r="AQ453" s="20"/>
      <c r="AR453" s="42"/>
      <c r="AS453" s="42"/>
      <c r="AT453" s="20"/>
      <c r="AU453" s="20"/>
      <c r="AV453" s="20"/>
      <c r="AW453" s="42"/>
      <c r="AX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42"/>
      <c r="AN454" s="20"/>
      <c r="AO454" s="20"/>
      <c r="AP454" s="42"/>
      <c r="AQ454" s="20"/>
      <c r="AR454" s="42"/>
      <c r="AS454" s="42"/>
      <c r="AT454" s="20"/>
      <c r="AU454" s="20"/>
      <c r="AV454" s="20"/>
      <c r="AW454" s="42"/>
      <c r="AX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42"/>
      <c r="AN455" s="20"/>
      <c r="AO455" s="20"/>
      <c r="AP455" s="42"/>
      <c r="AQ455" s="20"/>
      <c r="AR455" s="42"/>
      <c r="AS455" s="42"/>
      <c r="AT455" s="20"/>
      <c r="AU455" s="20"/>
      <c r="AV455" s="20"/>
      <c r="AW455" s="42"/>
      <c r="AX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42"/>
      <c r="AN456" s="20"/>
      <c r="AO456" s="20"/>
      <c r="AP456" s="42"/>
      <c r="AQ456" s="20"/>
      <c r="AR456" s="42"/>
      <c r="AS456" s="42"/>
      <c r="AT456" s="20"/>
      <c r="AU456" s="20"/>
      <c r="AV456" s="20"/>
      <c r="AW456" s="42"/>
      <c r="AX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42"/>
      <c r="AN457" s="20"/>
      <c r="AO457" s="20"/>
      <c r="AP457" s="42"/>
      <c r="AQ457" s="20"/>
      <c r="AR457" s="42"/>
      <c r="AS457" s="42"/>
      <c r="AT457" s="20"/>
      <c r="AU457" s="20"/>
      <c r="AV457" s="20"/>
      <c r="AW457" s="42"/>
      <c r="AX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42"/>
      <c r="AN458" s="20"/>
      <c r="AO458" s="20"/>
      <c r="AP458" s="42"/>
      <c r="AQ458" s="20"/>
      <c r="AR458" s="42"/>
      <c r="AS458" s="42"/>
      <c r="AT458" s="20"/>
      <c r="AU458" s="20"/>
      <c r="AV458" s="20"/>
      <c r="AW458" s="42"/>
      <c r="AX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42"/>
      <c r="AN459" s="20"/>
      <c r="AO459" s="20"/>
      <c r="AP459" s="42"/>
      <c r="AQ459" s="20"/>
      <c r="AR459" s="42"/>
      <c r="AS459" s="42"/>
      <c r="AT459" s="20"/>
      <c r="AU459" s="20"/>
      <c r="AV459" s="20"/>
      <c r="AW459" s="42"/>
      <c r="AX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42"/>
      <c r="AN460" s="20"/>
      <c r="AO460" s="20"/>
      <c r="AP460" s="42"/>
      <c r="AQ460" s="20"/>
      <c r="AR460" s="42"/>
      <c r="AS460" s="42"/>
      <c r="AT460" s="20"/>
      <c r="AU460" s="20"/>
      <c r="AV460" s="20"/>
      <c r="AW460" s="42"/>
      <c r="AX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42"/>
      <c r="AN461" s="20"/>
      <c r="AO461" s="20"/>
      <c r="AP461" s="42"/>
      <c r="AQ461" s="20"/>
      <c r="AR461" s="42"/>
      <c r="AS461" s="42"/>
      <c r="AT461" s="20"/>
      <c r="AU461" s="20"/>
      <c r="AV461" s="20"/>
      <c r="AW461" s="42"/>
      <c r="AX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42"/>
      <c r="AN462" s="20"/>
      <c r="AO462" s="20"/>
      <c r="AP462" s="42"/>
      <c r="AQ462" s="20"/>
      <c r="AR462" s="42"/>
      <c r="AS462" s="42"/>
      <c r="AT462" s="20"/>
      <c r="AU462" s="20"/>
      <c r="AV462" s="20"/>
      <c r="AW462" s="42"/>
      <c r="AX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42"/>
      <c r="AN463" s="20"/>
      <c r="AO463" s="20"/>
      <c r="AP463" s="42"/>
      <c r="AQ463" s="20"/>
      <c r="AR463" s="42"/>
      <c r="AS463" s="42"/>
      <c r="AT463" s="20"/>
      <c r="AU463" s="20"/>
      <c r="AV463" s="20"/>
      <c r="AW463" s="42"/>
      <c r="AX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42"/>
      <c r="AN464" s="20"/>
      <c r="AO464" s="20"/>
      <c r="AP464" s="42"/>
      <c r="AQ464" s="20"/>
      <c r="AR464" s="42"/>
      <c r="AS464" s="42"/>
      <c r="AT464" s="20"/>
      <c r="AU464" s="20"/>
      <c r="AV464" s="20"/>
      <c r="AW464" s="42"/>
      <c r="AX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42"/>
      <c r="AN465" s="20"/>
      <c r="AO465" s="20"/>
      <c r="AP465" s="42"/>
      <c r="AQ465" s="20"/>
      <c r="AR465" s="42"/>
      <c r="AS465" s="42"/>
      <c r="AT465" s="20"/>
      <c r="AU465" s="20"/>
      <c r="AV465" s="20"/>
      <c r="AW465" s="42"/>
      <c r="AX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42"/>
      <c r="AN466" s="20"/>
      <c r="AO466" s="20"/>
      <c r="AP466" s="42"/>
      <c r="AQ466" s="20"/>
      <c r="AR466" s="42"/>
      <c r="AS466" s="42"/>
      <c r="AT466" s="20"/>
      <c r="AU466" s="20"/>
      <c r="AV466" s="20"/>
      <c r="AW466" s="42"/>
      <c r="AX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42"/>
      <c r="AN467" s="20"/>
      <c r="AO467" s="20"/>
      <c r="AP467" s="42"/>
      <c r="AQ467" s="20"/>
      <c r="AR467" s="42"/>
      <c r="AS467" s="42"/>
      <c r="AT467" s="20"/>
      <c r="AU467" s="20"/>
      <c r="AV467" s="20"/>
      <c r="AW467" s="42"/>
      <c r="AX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42"/>
      <c r="AN468" s="20"/>
      <c r="AO468" s="20"/>
      <c r="AP468" s="42"/>
      <c r="AQ468" s="20"/>
      <c r="AR468" s="42"/>
      <c r="AS468" s="42"/>
      <c r="AT468" s="20"/>
      <c r="AU468" s="20"/>
      <c r="AV468" s="20"/>
      <c r="AW468" s="42"/>
      <c r="AX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42"/>
      <c r="AN469" s="20"/>
      <c r="AO469" s="20"/>
      <c r="AP469" s="42"/>
      <c r="AQ469" s="20"/>
      <c r="AR469" s="42"/>
      <c r="AS469" s="42"/>
      <c r="AT469" s="20"/>
      <c r="AU469" s="20"/>
      <c r="AV469" s="20"/>
      <c r="AW469" s="42"/>
      <c r="AX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42"/>
      <c r="AN470" s="20"/>
      <c r="AO470" s="20"/>
      <c r="AP470" s="42"/>
      <c r="AQ470" s="20"/>
      <c r="AR470" s="42"/>
      <c r="AS470" s="42"/>
      <c r="AT470" s="20"/>
      <c r="AU470" s="20"/>
      <c r="AV470" s="20"/>
      <c r="AW470" s="42"/>
      <c r="AX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42"/>
      <c r="AN471" s="20"/>
      <c r="AO471" s="20"/>
      <c r="AP471" s="42"/>
      <c r="AQ471" s="20"/>
      <c r="AR471" s="42"/>
      <c r="AS471" s="42"/>
      <c r="AT471" s="20"/>
      <c r="AU471" s="20"/>
      <c r="AV471" s="20"/>
      <c r="AW471" s="42"/>
      <c r="AX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42"/>
      <c r="AN472" s="20"/>
      <c r="AO472" s="20"/>
      <c r="AP472" s="42"/>
      <c r="AQ472" s="20"/>
      <c r="AR472" s="42"/>
      <c r="AS472" s="42"/>
      <c r="AT472" s="20"/>
      <c r="AU472" s="20"/>
      <c r="AV472" s="20"/>
      <c r="AW472" s="42"/>
      <c r="AX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42"/>
      <c r="AN473" s="20"/>
      <c r="AO473" s="20"/>
      <c r="AP473" s="42"/>
      <c r="AQ473" s="20"/>
      <c r="AR473" s="42"/>
      <c r="AS473" s="42"/>
      <c r="AT473" s="20"/>
      <c r="AU473" s="20"/>
      <c r="AV473" s="20"/>
      <c r="AW473" s="42"/>
      <c r="AX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42"/>
      <c r="AN474" s="20"/>
      <c r="AO474" s="20"/>
      <c r="AP474" s="42"/>
      <c r="AQ474" s="20"/>
      <c r="AR474" s="42"/>
      <c r="AS474" s="42"/>
      <c r="AT474" s="20"/>
      <c r="AU474" s="20"/>
      <c r="AV474" s="20"/>
      <c r="AW474" s="42"/>
      <c r="AX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42"/>
      <c r="AN475" s="20"/>
      <c r="AO475" s="20"/>
      <c r="AP475" s="42"/>
      <c r="AQ475" s="20"/>
      <c r="AR475" s="42"/>
      <c r="AS475" s="42"/>
      <c r="AT475" s="20"/>
      <c r="AU475" s="20"/>
      <c r="AV475" s="20"/>
      <c r="AW475" s="42"/>
      <c r="AX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42"/>
      <c r="AN476" s="20"/>
      <c r="AO476" s="20"/>
      <c r="AP476" s="42"/>
      <c r="AQ476" s="20"/>
      <c r="AR476" s="42"/>
      <c r="AS476" s="42"/>
      <c r="AT476" s="20"/>
      <c r="AU476" s="20"/>
      <c r="AV476" s="20"/>
      <c r="AW476" s="42"/>
      <c r="AX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42"/>
      <c r="AN477" s="20"/>
      <c r="AO477" s="20"/>
      <c r="AP477" s="42"/>
      <c r="AQ477" s="20"/>
      <c r="AR477" s="42"/>
      <c r="AS477" s="42"/>
      <c r="AT477" s="20"/>
      <c r="AU477" s="20"/>
      <c r="AV477" s="20"/>
      <c r="AW477" s="42"/>
      <c r="AX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42"/>
      <c r="AN478" s="20"/>
      <c r="AO478" s="20"/>
      <c r="AP478" s="42"/>
      <c r="AQ478" s="20"/>
      <c r="AR478" s="42"/>
      <c r="AS478" s="42"/>
      <c r="AT478" s="20"/>
      <c r="AU478" s="20"/>
      <c r="AV478" s="20"/>
      <c r="AW478" s="42"/>
      <c r="AX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42"/>
      <c r="AN479" s="20"/>
      <c r="AO479" s="20"/>
      <c r="AP479" s="42"/>
      <c r="AQ479" s="20"/>
      <c r="AR479" s="42"/>
      <c r="AS479" s="42"/>
      <c r="AT479" s="20"/>
      <c r="AU479" s="20"/>
      <c r="AV479" s="20"/>
      <c r="AW479" s="42"/>
      <c r="AX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42"/>
      <c r="AN480" s="20"/>
      <c r="AO480" s="20"/>
      <c r="AP480" s="42"/>
      <c r="AQ480" s="20"/>
      <c r="AR480" s="42"/>
      <c r="AS480" s="42"/>
      <c r="AT480" s="20"/>
      <c r="AU480" s="20"/>
      <c r="AV480" s="20"/>
      <c r="AW480" s="42"/>
      <c r="AX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42"/>
      <c r="AN481" s="20"/>
      <c r="AO481" s="20"/>
      <c r="AP481" s="42"/>
      <c r="AQ481" s="20"/>
      <c r="AR481" s="42"/>
      <c r="AS481" s="42"/>
      <c r="AT481" s="20"/>
      <c r="AU481" s="20"/>
      <c r="AV481" s="20"/>
      <c r="AW481" s="42"/>
      <c r="AX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42"/>
      <c r="AN482" s="20"/>
      <c r="AO482" s="20"/>
      <c r="AP482" s="42"/>
      <c r="AQ482" s="20"/>
      <c r="AR482" s="42"/>
      <c r="AS482" s="42"/>
      <c r="AT482" s="20"/>
      <c r="AU482" s="20"/>
      <c r="AV482" s="20"/>
      <c r="AW482" s="42"/>
      <c r="AX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42"/>
      <c r="AN483" s="20"/>
      <c r="AO483" s="20"/>
      <c r="AP483" s="42"/>
      <c r="AQ483" s="20"/>
      <c r="AR483" s="42"/>
      <c r="AS483" s="42"/>
      <c r="AT483" s="20"/>
      <c r="AU483" s="20"/>
      <c r="AV483" s="20"/>
      <c r="AW483" s="42"/>
      <c r="AX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42"/>
      <c r="AN484" s="20"/>
      <c r="AO484" s="20"/>
      <c r="AP484" s="42"/>
      <c r="AQ484" s="20"/>
      <c r="AR484" s="42"/>
      <c r="AS484" s="42"/>
      <c r="AT484" s="20"/>
      <c r="AU484" s="20"/>
      <c r="AV484" s="20"/>
      <c r="AW484" s="42"/>
      <c r="AX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42"/>
      <c r="AN485" s="20"/>
      <c r="AO485" s="20"/>
      <c r="AP485" s="42"/>
      <c r="AQ485" s="20"/>
      <c r="AR485" s="42"/>
      <c r="AS485" s="42"/>
      <c r="AT485" s="20"/>
      <c r="AU485" s="20"/>
      <c r="AV485" s="20"/>
      <c r="AW485" s="42"/>
      <c r="AX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42"/>
      <c r="AN486" s="20"/>
      <c r="AO486" s="20"/>
      <c r="AP486" s="42"/>
      <c r="AQ486" s="20"/>
      <c r="AR486" s="42"/>
      <c r="AS486" s="42"/>
      <c r="AT486" s="20"/>
      <c r="AU486" s="20"/>
      <c r="AV486" s="20"/>
      <c r="AW486" s="42"/>
      <c r="AX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42"/>
      <c r="AN487" s="20"/>
      <c r="AO487" s="20"/>
      <c r="AP487" s="42"/>
      <c r="AQ487" s="20"/>
      <c r="AR487" s="42"/>
      <c r="AS487" s="42"/>
      <c r="AT487" s="20"/>
      <c r="AU487" s="20"/>
      <c r="AV487" s="20"/>
      <c r="AW487" s="42"/>
      <c r="AX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42"/>
      <c r="AN488" s="20"/>
      <c r="AO488" s="20"/>
      <c r="AP488" s="42"/>
      <c r="AQ488" s="20"/>
      <c r="AR488" s="42"/>
      <c r="AS488" s="42"/>
      <c r="AT488" s="20"/>
      <c r="AU488" s="20"/>
      <c r="AV488" s="20"/>
      <c r="AW488" s="42"/>
      <c r="AX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42"/>
      <c r="AN489" s="20"/>
      <c r="AO489" s="20"/>
      <c r="AP489" s="42"/>
      <c r="AQ489" s="20"/>
      <c r="AR489" s="42"/>
      <c r="AS489" s="42"/>
      <c r="AT489" s="20"/>
      <c r="AU489" s="20"/>
      <c r="AV489" s="20"/>
      <c r="AW489" s="42"/>
      <c r="AX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42"/>
      <c r="AN490" s="20"/>
      <c r="AO490" s="20"/>
      <c r="AP490" s="42"/>
      <c r="AQ490" s="20"/>
      <c r="AR490" s="42"/>
      <c r="AS490" s="42"/>
      <c r="AT490" s="20"/>
      <c r="AU490" s="20"/>
      <c r="AV490" s="20"/>
      <c r="AW490" s="42"/>
      <c r="AX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42"/>
      <c r="AN491" s="20"/>
      <c r="AO491" s="20"/>
      <c r="AP491" s="42"/>
      <c r="AQ491" s="20"/>
      <c r="AR491" s="42"/>
      <c r="AS491" s="42"/>
      <c r="AT491" s="20"/>
      <c r="AU491" s="20"/>
      <c r="AV491" s="20"/>
      <c r="AW491" s="42"/>
      <c r="AX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42"/>
      <c r="AN492" s="20"/>
      <c r="AO492" s="20"/>
      <c r="AP492" s="42"/>
      <c r="AQ492" s="20"/>
      <c r="AR492" s="42"/>
      <c r="AS492" s="42"/>
      <c r="AT492" s="20"/>
      <c r="AU492" s="20"/>
      <c r="AV492" s="20"/>
      <c r="AW492" s="42"/>
      <c r="AX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42"/>
      <c r="AN493" s="20"/>
      <c r="AO493" s="20"/>
      <c r="AP493" s="42"/>
      <c r="AQ493" s="20"/>
      <c r="AR493" s="42"/>
      <c r="AS493" s="42"/>
      <c r="AT493" s="20"/>
      <c r="AU493" s="20"/>
      <c r="AV493" s="20"/>
      <c r="AW493" s="42"/>
      <c r="AX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42"/>
      <c r="AN494" s="20"/>
      <c r="AO494" s="20"/>
      <c r="AP494" s="42"/>
      <c r="AQ494" s="20"/>
      <c r="AR494" s="42"/>
      <c r="AS494" s="42"/>
      <c r="AT494" s="20"/>
      <c r="AU494" s="20"/>
      <c r="AV494" s="20"/>
      <c r="AW494" s="42"/>
      <c r="AX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42"/>
      <c r="AN495" s="20"/>
      <c r="AO495" s="20"/>
      <c r="AP495" s="42"/>
      <c r="AQ495" s="20"/>
      <c r="AR495" s="42"/>
      <c r="AS495" s="42"/>
      <c r="AT495" s="20"/>
      <c r="AU495" s="20"/>
      <c r="AV495" s="20"/>
      <c r="AW495" s="42"/>
      <c r="AX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42"/>
      <c r="AN496" s="20"/>
      <c r="AO496" s="20"/>
      <c r="AP496" s="42"/>
      <c r="AQ496" s="20"/>
      <c r="AR496" s="42"/>
      <c r="AS496" s="42"/>
      <c r="AT496" s="20"/>
      <c r="AU496" s="20"/>
      <c r="AV496" s="20"/>
      <c r="AW496" s="42"/>
      <c r="AX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42"/>
      <c r="AN497" s="20"/>
      <c r="AO497" s="20"/>
      <c r="AP497" s="42"/>
      <c r="AQ497" s="20"/>
      <c r="AR497" s="42"/>
      <c r="AS497" s="42"/>
      <c r="AT497" s="20"/>
      <c r="AU497" s="20"/>
      <c r="AV497" s="20"/>
      <c r="AW497" s="42"/>
      <c r="AX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42"/>
      <c r="AN498" s="20"/>
      <c r="AO498" s="20"/>
      <c r="AP498" s="42"/>
      <c r="AQ498" s="20"/>
      <c r="AR498" s="42"/>
      <c r="AS498" s="42"/>
      <c r="AT498" s="20"/>
      <c r="AU498" s="20"/>
      <c r="AV498" s="20"/>
      <c r="AW498" s="42"/>
      <c r="AX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42"/>
      <c r="AN499" s="20"/>
      <c r="AO499" s="20"/>
      <c r="AP499" s="42"/>
      <c r="AQ499" s="20"/>
      <c r="AR499" s="42"/>
      <c r="AS499" s="42"/>
      <c r="AT499" s="20"/>
      <c r="AU499" s="20"/>
      <c r="AV499" s="20"/>
      <c r="AW499" s="42"/>
      <c r="AX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42"/>
      <c r="AN500" s="20"/>
      <c r="AO500" s="20"/>
      <c r="AP500" s="42"/>
      <c r="AQ500" s="20"/>
      <c r="AR500" s="42"/>
      <c r="AS500" s="42"/>
      <c r="AT500" s="20"/>
      <c r="AU500" s="20"/>
      <c r="AV500" s="20"/>
      <c r="AW500" s="42"/>
      <c r="AX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42"/>
      <c r="AN501" s="20"/>
      <c r="AO501" s="20"/>
      <c r="AP501" s="42"/>
      <c r="AQ501" s="20"/>
      <c r="AR501" s="42"/>
      <c r="AS501" s="42"/>
      <c r="AT501" s="20"/>
      <c r="AU501" s="20"/>
      <c r="AV501" s="20"/>
      <c r="AW501" s="42"/>
      <c r="AX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42"/>
      <c r="AN502" s="20"/>
      <c r="AO502" s="20"/>
      <c r="AP502" s="42"/>
      <c r="AQ502" s="20"/>
      <c r="AR502" s="42"/>
      <c r="AS502" s="42"/>
      <c r="AT502" s="20"/>
      <c r="AU502" s="20"/>
      <c r="AV502" s="20"/>
      <c r="AW502" s="42"/>
      <c r="AX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42"/>
      <c r="AN503" s="20"/>
      <c r="AO503" s="20"/>
      <c r="AP503" s="42"/>
      <c r="AQ503" s="20"/>
      <c r="AR503" s="42"/>
      <c r="AS503" s="42"/>
      <c r="AT503" s="20"/>
      <c r="AU503" s="20"/>
      <c r="AV503" s="20"/>
      <c r="AW503" s="42"/>
      <c r="AX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42"/>
      <c r="AN504" s="20"/>
      <c r="AO504" s="20"/>
      <c r="AP504" s="42"/>
      <c r="AQ504" s="20"/>
      <c r="AR504" s="42"/>
      <c r="AS504" s="42"/>
      <c r="AT504" s="20"/>
      <c r="AU504" s="20"/>
      <c r="AV504" s="20"/>
      <c r="AW504" s="42"/>
      <c r="AX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42"/>
      <c r="AN505" s="20"/>
      <c r="AO505" s="20"/>
      <c r="AP505" s="42"/>
      <c r="AQ505" s="20"/>
      <c r="AR505" s="42"/>
      <c r="AS505" s="42"/>
      <c r="AT505" s="20"/>
      <c r="AU505" s="20"/>
      <c r="AV505" s="20"/>
      <c r="AW505" s="42"/>
      <c r="AX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42"/>
      <c r="AN506" s="20"/>
      <c r="AO506" s="20"/>
      <c r="AP506" s="42"/>
      <c r="AQ506" s="20"/>
      <c r="AR506" s="42"/>
      <c r="AS506" s="42"/>
      <c r="AT506" s="20"/>
      <c r="AU506" s="20"/>
      <c r="AV506" s="20"/>
      <c r="AW506" s="42"/>
      <c r="AX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42"/>
      <c r="AN507" s="20"/>
      <c r="AO507" s="20"/>
      <c r="AP507" s="42"/>
      <c r="AQ507" s="20"/>
      <c r="AR507" s="42"/>
      <c r="AS507" s="42"/>
      <c r="AT507" s="20"/>
      <c r="AU507" s="20"/>
      <c r="AV507" s="20"/>
      <c r="AW507" s="42"/>
      <c r="AX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42"/>
      <c r="AN508" s="20"/>
      <c r="AO508" s="20"/>
      <c r="AP508" s="42"/>
      <c r="AQ508" s="20"/>
      <c r="AR508" s="42"/>
      <c r="AS508" s="42"/>
      <c r="AT508" s="20"/>
      <c r="AU508" s="20"/>
      <c r="AV508" s="20"/>
      <c r="AW508" s="42"/>
      <c r="AX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42"/>
      <c r="AN509" s="20"/>
      <c r="AO509" s="20"/>
      <c r="AP509" s="42"/>
      <c r="AQ509" s="20"/>
      <c r="AR509" s="42"/>
      <c r="AS509" s="42"/>
      <c r="AT509" s="20"/>
      <c r="AU509" s="20"/>
      <c r="AV509" s="20"/>
      <c r="AW509" s="42"/>
      <c r="AX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42"/>
      <c r="AN510" s="20"/>
      <c r="AO510" s="20"/>
      <c r="AP510" s="42"/>
      <c r="AQ510" s="20"/>
      <c r="AR510" s="42"/>
      <c r="AS510" s="42"/>
      <c r="AT510" s="20"/>
      <c r="AU510" s="20"/>
      <c r="AV510" s="20"/>
      <c r="AW510" s="42"/>
      <c r="AX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42"/>
      <c r="AN511" s="20"/>
      <c r="AO511" s="20"/>
      <c r="AP511" s="42"/>
      <c r="AQ511" s="20"/>
      <c r="AR511" s="42"/>
      <c r="AS511" s="42"/>
      <c r="AT511" s="20"/>
      <c r="AU511" s="20"/>
      <c r="AV511" s="20"/>
      <c r="AW511" s="42"/>
      <c r="AX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42"/>
      <c r="AN512" s="20"/>
      <c r="AO512" s="20"/>
      <c r="AP512" s="42"/>
      <c r="AQ512" s="20"/>
      <c r="AR512" s="42"/>
      <c r="AS512" s="42"/>
      <c r="AT512" s="20"/>
      <c r="AU512" s="20"/>
      <c r="AV512" s="20"/>
      <c r="AW512" s="42"/>
      <c r="AX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42"/>
      <c r="AN513" s="20"/>
      <c r="AO513" s="20"/>
      <c r="AP513" s="42"/>
      <c r="AQ513" s="20"/>
      <c r="AR513" s="42"/>
      <c r="AS513" s="42"/>
      <c r="AT513" s="20"/>
      <c r="AU513" s="20"/>
      <c r="AV513" s="20"/>
      <c r="AW513" s="42"/>
      <c r="AX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42"/>
      <c r="AN514" s="20"/>
      <c r="AO514" s="20"/>
      <c r="AP514" s="42"/>
      <c r="AQ514" s="20"/>
      <c r="AR514" s="42"/>
      <c r="AS514" s="42"/>
      <c r="AT514" s="20"/>
      <c r="AU514" s="20"/>
      <c r="AV514" s="20"/>
      <c r="AW514" s="42"/>
      <c r="AX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42"/>
      <c r="AN515" s="20"/>
      <c r="AO515" s="20"/>
      <c r="AP515" s="42"/>
      <c r="AQ515" s="20"/>
      <c r="AR515" s="42"/>
      <c r="AS515" s="42"/>
      <c r="AT515" s="20"/>
      <c r="AU515" s="20"/>
      <c r="AV515" s="20"/>
      <c r="AW515" s="42"/>
      <c r="AX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42"/>
      <c r="AN516" s="20"/>
      <c r="AO516" s="20"/>
      <c r="AP516" s="42"/>
      <c r="AQ516" s="20"/>
      <c r="AR516" s="42"/>
      <c r="AS516" s="42"/>
      <c r="AT516" s="20"/>
      <c r="AU516" s="20"/>
      <c r="AV516" s="20"/>
      <c r="AW516" s="42"/>
      <c r="AX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42"/>
      <c r="AN517" s="20"/>
      <c r="AO517" s="20"/>
      <c r="AP517" s="42"/>
      <c r="AQ517" s="20"/>
      <c r="AR517" s="42"/>
      <c r="AS517" s="42"/>
      <c r="AT517" s="20"/>
      <c r="AU517" s="20"/>
      <c r="AV517" s="20"/>
      <c r="AW517" s="42"/>
      <c r="AX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42"/>
      <c r="AN518" s="20"/>
      <c r="AO518" s="20"/>
      <c r="AP518" s="42"/>
      <c r="AQ518" s="20"/>
      <c r="AR518" s="42"/>
      <c r="AS518" s="42"/>
      <c r="AT518" s="20"/>
      <c r="AU518" s="20"/>
      <c r="AV518" s="20"/>
      <c r="AW518" s="42"/>
      <c r="AX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42"/>
      <c r="AN519" s="20"/>
      <c r="AO519" s="20"/>
      <c r="AP519" s="42"/>
      <c r="AQ519" s="20"/>
      <c r="AR519" s="42"/>
      <c r="AS519" s="42"/>
      <c r="AT519" s="20"/>
      <c r="AU519" s="20"/>
      <c r="AV519" s="20"/>
      <c r="AW519" s="42"/>
      <c r="AX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42"/>
      <c r="AN520" s="20"/>
      <c r="AO520" s="20"/>
      <c r="AP520" s="42"/>
      <c r="AQ520" s="20"/>
      <c r="AR520" s="42"/>
      <c r="AS520" s="42"/>
      <c r="AT520" s="20"/>
      <c r="AU520" s="20"/>
      <c r="AV520" s="20"/>
      <c r="AW520" s="42"/>
      <c r="AX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42"/>
      <c r="AN521" s="20"/>
      <c r="AO521" s="20"/>
      <c r="AP521" s="42"/>
      <c r="AQ521" s="20"/>
      <c r="AR521" s="42"/>
      <c r="AS521" s="42"/>
      <c r="AT521" s="20"/>
      <c r="AU521" s="20"/>
      <c r="AV521" s="20"/>
      <c r="AW521" s="42"/>
      <c r="AX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42"/>
      <c r="AN522" s="20"/>
      <c r="AO522" s="20"/>
      <c r="AP522" s="42"/>
      <c r="AQ522" s="20"/>
      <c r="AR522" s="42"/>
      <c r="AS522" s="42"/>
      <c r="AT522" s="20"/>
      <c r="AU522" s="20"/>
      <c r="AV522" s="20"/>
      <c r="AW522" s="42"/>
      <c r="AX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42"/>
      <c r="AN523" s="20"/>
      <c r="AO523" s="20"/>
      <c r="AP523" s="42"/>
      <c r="AQ523" s="20"/>
      <c r="AR523" s="42"/>
      <c r="AS523" s="42"/>
      <c r="AT523" s="20"/>
      <c r="AU523" s="20"/>
      <c r="AV523" s="20"/>
      <c r="AW523" s="42"/>
      <c r="AX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42"/>
      <c r="AN524" s="20"/>
      <c r="AO524" s="20"/>
      <c r="AP524" s="42"/>
      <c r="AQ524" s="20"/>
      <c r="AR524" s="42"/>
      <c r="AS524" s="42"/>
      <c r="AT524" s="20"/>
      <c r="AU524" s="20"/>
      <c r="AV524" s="20"/>
      <c r="AW524" s="42"/>
      <c r="AX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42"/>
      <c r="AN525" s="20"/>
      <c r="AO525" s="20"/>
      <c r="AP525" s="42"/>
      <c r="AQ525" s="20"/>
      <c r="AR525" s="42"/>
      <c r="AS525" s="42"/>
      <c r="AT525" s="20"/>
      <c r="AU525" s="20"/>
      <c r="AV525" s="20"/>
      <c r="AW525" s="42"/>
      <c r="AX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42"/>
      <c r="AN526" s="20"/>
      <c r="AO526" s="20"/>
      <c r="AP526" s="42"/>
      <c r="AQ526" s="20"/>
      <c r="AR526" s="42"/>
      <c r="AS526" s="42"/>
      <c r="AT526" s="20"/>
      <c r="AU526" s="20"/>
      <c r="AV526" s="20"/>
      <c r="AW526" s="42"/>
      <c r="AX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42"/>
      <c r="AN527" s="20"/>
      <c r="AO527" s="20"/>
      <c r="AP527" s="42"/>
      <c r="AQ527" s="20"/>
      <c r="AR527" s="42"/>
      <c r="AS527" s="42"/>
      <c r="AT527" s="20"/>
      <c r="AU527" s="20"/>
      <c r="AV527" s="20"/>
      <c r="AW527" s="42"/>
      <c r="AX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42"/>
      <c r="AN528" s="20"/>
      <c r="AO528" s="20"/>
      <c r="AP528" s="42"/>
      <c r="AQ528" s="20"/>
      <c r="AR528" s="42"/>
      <c r="AS528" s="42"/>
      <c r="AT528" s="20"/>
      <c r="AU528" s="20"/>
      <c r="AV528" s="20"/>
      <c r="AW528" s="42"/>
      <c r="AX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42"/>
      <c r="AN529" s="20"/>
      <c r="AO529" s="20"/>
      <c r="AP529" s="42"/>
      <c r="AQ529" s="20"/>
      <c r="AR529" s="42"/>
      <c r="AS529" s="42"/>
      <c r="AT529" s="20"/>
      <c r="AU529" s="20"/>
      <c r="AV529" s="20"/>
      <c r="AW529" s="42"/>
      <c r="AX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42"/>
      <c r="AN530" s="20"/>
      <c r="AO530" s="20"/>
      <c r="AP530" s="42"/>
      <c r="AQ530" s="20"/>
      <c r="AR530" s="42"/>
      <c r="AS530" s="42"/>
      <c r="AT530" s="20"/>
      <c r="AU530" s="20"/>
      <c r="AV530" s="20"/>
      <c r="AW530" s="42"/>
      <c r="AX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42"/>
      <c r="AN531" s="20"/>
      <c r="AO531" s="20"/>
      <c r="AP531" s="42"/>
      <c r="AQ531" s="20"/>
      <c r="AR531" s="42"/>
      <c r="AS531" s="42"/>
      <c r="AT531" s="20"/>
      <c r="AU531" s="20"/>
      <c r="AV531" s="20"/>
      <c r="AW531" s="42"/>
      <c r="AX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42"/>
      <c r="AN532" s="20"/>
      <c r="AO532" s="20"/>
      <c r="AP532" s="42"/>
      <c r="AQ532" s="20"/>
      <c r="AR532" s="42"/>
      <c r="AS532" s="42"/>
      <c r="AT532" s="20"/>
      <c r="AU532" s="20"/>
      <c r="AV532" s="20"/>
      <c r="AW532" s="42"/>
      <c r="AX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42"/>
      <c r="AN533" s="20"/>
      <c r="AO533" s="20"/>
      <c r="AP533" s="42"/>
      <c r="AQ533" s="20"/>
      <c r="AR533" s="42"/>
      <c r="AS533" s="42"/>
      <c r="AT533" s="20"/>
      <c r="AU533" s="20"/>
      <c r="AV533" s="20"/>
      <c r="AW533" s="42"/>
      <c r="AX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42"/>
      <c r="AN534" s="20"/>
      <c r="AO534" s="20"/>
      <c r="AP534" s="42"/>
      <c r="AQ534" s="20"/>
      <c r="AR534" s="42"/>
      <c r="AS534" s="42"/>
      <c r="AT534" s="20"/>
      <c r="AU534" s="20"/>
      <c r="AV534" s="20"/>
      <c r="AW534" s="42"/>
      <c r="AX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42"/>
      <c r="AN535" s="20"/>
      <c r="AO535" s="20"/>
      <c r="AP535" s="42"/>
      <c r="AQ535" s="20"/>
      <c r="AR535" s="42"/>
      <c r="AS535" s="42"/>
      <c r="AT535" s="20"/>
      <c r="AU535" s="20"/>
      <c r="AV535" s="20"/>
      <c r="AW535" s="42"/>
      <c r="AX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42"/>
      <c r="AN536" s="20"/>
      <c r="AO536" s="20"/>
      <c r="AP536" s="42"/>
      <c r="AQ536" s="20"/>
      <c r="AR536" s="42"/>
      <c r="AS536" s="42"/>
      <c r="AT536" s="20"/>
      <c r="AU536" s="20"/>
      <c r="AV536" s="20"/>
      <c r="AW536" s="42"/>
      <c r="AX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42"/>
      <c r="AN537" s="20"/>
      <c r="AO537" s="20"/>
      <c r="AP537" s="42"/>
      <c r="AQ537" s="20"/>
      <c r="AR537" s="42"/>
      <c r="AS537" s="42"/>
      <c r="AT537" s="20"/>
      <c r="AU537" s="20"/>
      <c r="AV537" s="20"/>
      <c r="AW537" s="42"/>
      <c r="AX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42"/>
      <c r="AN538" s="20"/>
      <c r="AO538" s="20"/>
      <c r="AP538" s="42"/>
      <c r="AQ538" s="20"/>
      <c r="AR538" s="42"/>
      <c r="AS538" s="42"/>
      <c r="AT538" s="20"/>
      <c r="AU538" s="20"/>
      <c r="AV538" s="20"/>
      <c r="AW538" s="42"/>
      <c r="AX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42"/>
      <c r="AN539" s="20"/>
      <c r="AO539" s="20"/>
      <c r="AP539" s="42"/>
      <c r="AQ539" s="20"/>
      <c r="AR539" s="42"/>
      <c r="AS539" s="42"/>
      <c r="AT539" s="20"/>
      <c r="AU539" s="20"/>
      <c r="AV539" s="20"/>
      <c r="AW539" s="42"/>
      <c r="AX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42"/>
      <c r="AN540" s="20"/>
      <c r="AO540" s="20"/>
      <c r="AP540" s="42"/>
      <c r="AQ540" s="20"/>
      <c r="AR540" s="42"/>
      <c r="AS540" s="42"/>
      <c r="AT540" s="20"/>
      <c r="AU540" s="20"/>
      <c r="AV540" s="20"/>
      <c r="AW540" s="42"/>
      <c r="AX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42"/>
      <c r="AN541" s="20"/>
      <c r="AO541" s="20"/>
      <c r="AP541" s="42"/>
      <c r="AQ541" s="20"/>
      <c r="AR541" s="42"/>
      <c r="AS541" s="42"/>
      <c r="AT541" s="20"/>
      <c r="AU541" s="20"/>
      <c r="AV541" s="20"/>
      <c r="AW541" s="42"/>
      <c r="AX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42"/>
      <c r="AN542" s="20"/>
      <c r="AO542" s="20"/>
      <c r="AP542" s="42"/>
      <c r="AQ542" s="20"/>
      <c r="AR542" s="42"/>
      <c r="AS542" s="42"/>
      <c r="AT542" s="20"/>
      <c r="AU542" s="20"/>
      <c r="AV542" s="20"/>
      <c r="AW542" s="42"/>
      <c r="AX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42"/>
      <c r="AN543" s="20"/>
      <c r="AO543" s="20"/>
      <c r="AP543" s="42"/>
      <c r="AQ543" s="20"/>
      <c r="AR543" s="42"/>
      <c r="AS543" s="42"/>
      <c r="AT543" s="20"/>
      <c r="AU543" s="20"/>
      <c r="AV543" s="20"/>
      <c r="AW543" s="42"/>
      <c r="AX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42"/>
      <c r="AN544" s="20"/>
      <c r="AO544" s="20"/>
      <c r="AP544" s="42"/>
      <c r="AQ544" s="20"/>
      <c r="AR544" s="42"/>
      <c r="AS544" s="42"/>
      <c r="AT544" s="20"/>
      <c r="AU544" s="20"/>
      <c r="AV544" s="20"/>
      <c r="AW544" s="42"/>
      <c r="AX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42"/>
      <c r="AN545" s="20"/>
      <c r="AO545" s="20"/>
      <c r="AP545" s="42"/>
      <c r="AQ545" s="20"/>
      <c r="AR545" s="42"/>
      <c r="AS545" s="42"/>
      <c r="AT545" s="20"/>
      <c r="AU545" s="20"/>
      <c r="AV545" s="20"/>
      <c r="AW545" s="42"/>
      <c r="AX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42"/>
      <c r="AN546" s="20"/>
      <c r="AO546" s="20"/>
      <c r="AP546" s="42"/>
      <c r="AQ546" s="20"/>
      <c r="AR546" s="42"/>
      <c r="AS546" s="42"/>
      <c r="AT546" s="20"/>
      <c r="AU546" s="20"/>
      <c r="AV546" s="20"/>
      <c r="AW546" s="42"/>
      <c r="AX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42"/>
      <c r="AN547" s="20"/>
      <c r="AO547" s="20"/>
      <c r="AP547" s="42"/>
      <c r="AQ547" s="20"/>
      <c r="AR547" s="42"/>
      <c r="AS547" s="42"/>
      <c r="AT547" s="20"/>
      <c r="AU547" s="20"/>
      <c r="AV547" s="20"/>
      <c r="AW547" s="42"/>
      <c r="AX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42"/>
      <c r="AN548" s="20"/>
      <c r="AO548" s="20"/>
      <c r="AP548" s="42"/>
      <c r="AQ548" s="20"/>
      <c r="AR548" s="42"/>
      <c r="AS548" s="42"/>
      <c r="AT548" s="20"/>
      <c r="AU548" s="20"/>
      <c r="AV548" s="20"/>
      <c r="AW548" s="42"/>
      <c r="AX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42"/>
      <c r="AN549" s="20"/>
      <c r="AO549" s="20"/>
      <c r="AP549" s="42"/>
      <c r="AQ549" s="20"/>
      <c r="AR549" s="42"/>
      <c r="AS549" s="42"/>
      <c r="AT549" s="20"/>
      <c r="AU549" s="20"/>
      <c r="AV549" s="20"/>
      <c r="AW549" s="42"/>
      <c r="AX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42"/>
      <c r="AN550" s="20"/>
      <c r="AO550" s="20"/>
      <c r="AP550" s="42"/>
      <c r="AQ550" s="20"/>
      <c r="AR550" s="42"/>
      <c r="AS550" s="42"/>
      <c r="AT550" s="20"/>
      <c r="AU550" s="20"/>
      <c r="AV550" s="20"/>
      <c r="AW550" s="42"/>
      <c r="AX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42"/>
      <c r="AN551" s="20"/>
      <c r="AO551" s="20"/>
      <c r="AP551" s="42"/>
      <c r="AQ551" s="20"/>
      <c r="AR551" s="42"/>
      <c r="AS551" s="42"/>
      <c r="AT551" s="20"/>
      <c r="AU551" s="20"/>
      <c r="AV551" s="20"/>
      <c r="AW551" s="42"/>
      <c r="AX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42"/>
      <c r="AN552" s="20"/>
      <c r="AO552" s="20"/>
      <c r="AP552" s="42"/>
      <c r="AQ552" s="20"/>
      <c r="AR552" s="42"/>
      <c r="AS552" s="42"/>
      <c r="AT552" s="20"/>
      <c r="AU552" s="20"/>
      <c r="AV552" s="20"/>
      <c r="AW552" s="42"/>
      <c r="AX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42"/>
      <c r="AN553" s="20"/>
      <c r="AO553" s="20"/>
      <c r="AP553" s="42"/>
      <c r="AQ553" s="20"/>
      <c r="AR553" s="42"/>
      <c r="AS553" s="42"/>
      <c r="AT553" s="20"/>
      <c r="AU553" s="20"/>
      <c r="AV553" s="20"/>
      <c r="AW553" s="42"/>
      <c r="AX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42"/>
      <c r="AN554" s="20"/>
      <c r="AO554" s="20"/>
      <c r="AP554" s="42"/>
      <c r="AQ554" s="20"/>
      <c r="AR554" s="42"/>
      <c r="AS554" s="42"/>
      <c r="AT554" s="20"/>
      <c r="AU554" s="20"/>
      <c r="AV554" s="20"/>
      <c r="AW554" s="42"/>
      <c r="AX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42"/>
      <c r="AN555" s="20"/>
      <c r="AO555" s="20"/>
      <c r="AP555" s="42"/>
      <c r="AQ555" s="20"/>
      <c r="AR555" s="42"/>
      <c r="AS555" s="42"/>
      <c r="AT555" s="20"/>
      <c r="AU555" s="20"/>
      <c r="AV555" s="20"/>
      <c r="AW555" s="42"/>
      <c r="AX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42"/>
      <c r="AN556" s="20"/>
      <c r="AO556" s="20"/>
      <c r="AP556" s="42"/>
      <c r="AQ556" s="20"/>
      <c r="AR556" s="42"/>
      <c r="AS556" s="42"/>
      <c r="AT556" s="20"/>
      <c r="AU556" s="20"/>
      <c r="AV556" s="20"/>
      <c r="AW556" s="42"/>
      <c r="AX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42"/>
      <c r="AN557" s="20"/>
      <c r="AO557" s="20"/>
      <c r="AP557" s="42"/>
      <c r="AQ557" s="20"/>
      <c r="AR557" s="42"/>
      <c r="AS557" s="42"/>
      <c r="AT557" s="20"/>
      <c r="AU557" s="20"/>
      <c r="AV557" s="20"/>
      <c r="AW557" s="42"/>
      <c r="AX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42"/>
      <c r="AN558" s="20"/>
      <c r="AO558" s="20"/>
      <c r="AP558" s="42"/>
      <c r="AQ558" s="20"/>
      <c r="AR558" s="42"/>
      <c r="AS558" s="42"/>
      <c r="AT558" s="20"/>
      <c r="AU558" s="20"/>
      <c r="AV558" s="20"/>
      <c r="AW558" s="42"/>
      <c r="AX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42"/>
      <c r="AN559" s="20"/>
      <c r="AO559" s="20"/>
      <c r="AP559" s="42"/>
      <c r="AQ559" s="20"/>
      <c r="AR559" s="42"/>
      <c r="AS559" s="42"/>
      <c r="AT559" s="20"/>
      <c r="AU559" s="20"/>
      <c r="AV559" s="20"/>
      <c r="AW559" s="42"/>
      <c r="AX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42"/>
      <c r="AN560" s="20"/>
      <c r="AO560" s="20"/>
      <c r="AP560" s="42"/>
      <c r="AQ560" s="20"/>
      <c r="AR560" s="42"/>
      <c r="AS560" s="42"/>
      <c r="AT560" s="20"/>
      <c r="AU560" s="20"/>
      <c r="AV560" s="20"/>
      <c r="AW560" s="42"/>
      <c r="AX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42"/>
      <c r="AN561" s="20"/>
      <c r="AO561" s="20"/>
      <c r="AP561" s="42"/>
      <c r="AQ561" s="20"/>
      <c r="AR561" s="42"/>
      <c r="AS561" s="42"/>
      <c r="AT561" s="20"/>
      <c r="AU561" s="20"/>
      <c r="AV561" s="20"/>
      <c r="AW561" s="42"/>
      <c r="AX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42"/>
      <c r="AN562" s="20"/>
      <c r="AO562" s="20"/>
      <c r="AP562" s="42"/>
      <c r="AQ562" s="20"/>
      <c r="AR562" s="42"/>
      <c r="AS562" s="42"/>
      <c r="AT562" s="20"/>
      <c r="AU562" s="20"/>
      <c r="AV562" s="20"/>
      <c r="AW562" s="42"/>
      <c r="AX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42"/>
      <c r="AN563" s="20"/>
      <c r="AO563" s="20"/>
      <c r="AP563" s="42"/>
      <c r="AQ563" s="20"/>
      <c r="AR563" s="42"/>
      <c r="AS563" s="42"/>
      <c r="AT563" s="20"/>
      <c r="AU563" s="20"/>
      <c r="AV563" s="20"/>
      <c r="AW563" s="42"/>
      <c r="AX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42"/>
      <c r="AN564" s="20"/>
      <c r="AO564" s="20"/>
      <c r="AP564" s="42"/>
      <c r="AQ564" s="20"/>
      <c r="AR564" s="42"/>
      <c r="AS564" s="42"/>
      <c r="AT564" s="20"/>
      <c r="AU564" s="20"/>
      <c r="AV564" s="20"/>
      <c r="AW564" s="42"/>
      <c r="AX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42"/>
      <c r="AN565" s="20"/>
      <c r="AO565" s="20"/>
      <c r="AP565" s="42"/>
      <c r="AQ565" s="20"/>
      <c r="AR565" s="42"/>
      <c r="AS565" s="42"/>
      <c r="AT565" s="20"/>
      <c r="AU565" s="20"/>
      <c r="AV565" s="20"/>
      <c r="AW565" s="42"/>
      <c r="AX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42"/>
      <c r="AN566" s="20"/>
      <c r="AO566" s="20"/>
      <c r="AP566" s="42"/>
      <c r="AQ566" s="20"/>
      <c r="AR566" s="42"/>
      <c r="AS566" s="42"/>
      <c r="AT566" s="20"/>
      <c r="AU566" s="20"/>
      <c r="AV566" s="20"/>
      <c r="AW566" s="42"/>
      <c r="AX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42"/>
      <c r="AN567" s="20"/>
      <c r="AO567" s="20"/>
      <c r="AP567" s="42"/>
      <c r="AQ567" s="20"/>
      <c r="AR567" s="42"/>
      <c r="AS567" s="42"/>
      <c r="AT567" s="20"/>
      <c r="AU567" s="20"/>
      <c r="AV567" s="20"/>
      <c r="AW567" s="42"/>
      <c r="AX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42"/>
      <c r="AN568" s="20"/>
      <c r="AO568" s="20"/>
      <c r="AP568" s="42"/>
      <c r="AQ568" s="20"/>
      <c r="AR568" s="42"/>
      <c r="AS568" s="42"/>
      <c r="AT568" s="20"/>
      <c r="AU568" s="20"/>
      <c r="AV568" s="20"/>
      <c r="AW568" s="42"/>
      <c r="AX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42"/>
      <c r="AN569" s="20"/>
      <c r="AO569" s="20"/>
      <c r="AP569" s="42"/>
      <c r="AQ569" s="20"/>
      <c r="AR569" s="42"/>
      <c r="AS569" s="42"/>
      <c r="AT569" s="20"/>
      <c r="AU569" s="20"/>
      <c r="AV569" s="20"/>
      <c r="AW569" s="42"/>
      <c r="AX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42"/>
      <c r="AN570" s="20"/>
      <c r="AO570" s="20"/>
      <c r="AP570" s="42"/>
      <c r="AQ570" s="20"/>
      <c r="AR570" s="42"/>
      <c r="AS570" s="42"/>
      <c r="AT570" s="20"/>
      <c r="AU570" s="20"/>
      <c r="AV570" s="20"/>
      <c r="AW570" s="42"/>
      <c r="AX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42"/>
      <c r="AN571" s="20"/>
      <c r="AO571" s="20"/>
      <c r="AP571" s="42"/>
      <c r="AQ571" s="20"/>
      <c r="AR571" s="42"/>
      <c r="AS571" s="42"/>
      <c r="AT571" s="20"/>
      <c r="AU571" s="20"/>
      <c r="AV571" s="20"/>
      <c r="AW571" s="42"/>
      <c r="AX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42"/>
      <c r="AN572" s="20"/>
      <c r="AO572" s="20"/>
      <c r="AP572" s="42"/>
      <c r="AQ572" s="20"/>
      <c r="AR572" s="42"/>
      <c r="AS572" s="42"/>
      <c r="AT572" s="20"/>
      <c r="AU572" s="20"/>
      <c r="AV572" s="20"/>
      <c r="AW572" s="42"/>
      <c r="AX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42"/>
      <c r="AN573" s="20"/>
      <c r="AO573" s="20"/>
      <c r="AP573" s="42"/>
      <c r="AQ573" s="20"/>
      <c r="AR573" s="42"/>
      <c r="AS573" s="42"/>
      <c r="AT573" s="20"/>
      <c r="AU573" s="20"/>
      <c r="AV573" s="20"/>
      <c r="AW573" s="42"/>
      <c r="AX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42"/>
      <c r="AN574" s="20"/>
      <c r="AO574" s="20"/>
      <c r="AP574" s="42"/>
      <c r="AQ574" s="20"/>
      <c r="AR574" s="42"/>
      <c r="AS574" s="42"/>
      <c r="AT574" s="20"/>
      <c r="AU574" s="20"/>
      <c r="AV574" s="20"/>
      <c r="AW574" s="42"/>
      <c r="AX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42"/>
      <c r="AN575" s="20"/>
      <c r="AO575" s="20"/>
      <c r="AP575" s="42"/>
      <c r="AQ575" s="20"/>
      <c r="AR575" s="42"/>
      <c r="AS575" s="42"/>
      <c r="AT575" s="20"/>
      <c r="AU575" s="20"/>
      <c r="AV575" s="20"/>
      <c r="AW575" s="42"/>
      <c r="AX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42"/>
      <c r="AN576" s="20"/>
      <c r="AO576" s="20"/>
      <c r="AP576" s="42"/>
      <c r="AQ576" s="20"/>
      <c r="AR576" s="42"/>
      <c r="AS576" s="42"/>
      <c r="AT576" s="20"/>
      <c r="AU576" s="20"/>
      <c r="AV576" s="20"/>
      <c r="AW576" s="42"/>
      <c r="AX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42"/>
      <c r="AN577" s="20"/>
      <c r="AO577" s="20"/>
      <c r="AP577" s="42"/>
      <c r="AQ577" s="20"/>
      <c r="AR577" s="42"/>
      <c r="AS577" s="42"/>
      <c r="AT577" s="20"/>
      <c r="AU577" s="20"/>
      <c r="AV577" s="20"/>
      <c r="AW577" s="42"/>
      <c r="AX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42"/>
      <c r="AN578" s="20"/>
      <c r="AO578" s="20"/>
      <c r="AP578" s="42"/>
      <c r="AQ578" s="20"/>
      <c r="AR578" s="42"/>
      <c r="AS578" s="42"/>
      <c r="AT578" s="20"/>
      <c r="AU578" s="20"/>
      <c r="AV578" s="20"/>
      <c r="AW578" s="42"/>
      <c r="AX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42"/>
      <c r="AN579" s="20"/>
      <c r="AO579" s="20"/>
      <c r="AP579" s="42"/>
      <c r="AQ579" s="20"/>
      <c r="AR579" s="42"/>
      <c r="AS579" s="42"/>
      <c r="AT579" s="20"/>
      <c r="AU579" s="20"/>
      <c r="AV579" s="20"/>
      <c r="AW579" s="42"/>
      <c r="AX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42"/>
      <c r="AN580" s="20"/>
      <c r="AO580" s="20"/>
      <c r="AP580" s="42"/>
      <c r="AQ580" s="20"/>
      <c r="AR580" s="42"/>
      <c r="AS580" s="42"/>
      <c r="AT580" s="20"/>
      <c r="AU580" s="20"/>
      <c r="AV580" s="20"/>
      <c r="AW580" s="42"/>
      <c r="AX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42"/>
      <c r="AN581" s="20"/>
      <c r="AO581" s="20"/>
      <c r="AP581" s="42"/>
      <c r="AQ581" s="20"/>
      <c r="AR581" s="42"/>
      <c r="AS581" s="42"/>
      <c r="AT581" s="20"/>
      <c r="AU581" s="20"/>
      <c r="AV581" s="20"/>
      <c r="AW581" s="42"/>
      <c r="AX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42"/>
      <c r="AN582" s="20"/>
      <c r="AO582" s="20"/>
      <c r="AP582" s="42"/>
      <c r="AQ582" s="20"/>
      <c r="AR582" s="42"/>
      <c r="AS582" s="42"/>
      <c r="AT582" s="20"/>
      <c r="AU582" s="20"/>
      <c r="AV582" s="20"/>
      <c r="AW582" s="42"/>
      <c r="AX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42"/>
      <c r="AN583" s="20"/>
      <c r="AO583" s="20"/>
      <c r="AP583" s="42"/>
      <c r="AQ583" s="20"/>
      <c r="AR583" s="42"/>
      <c r="AS583" s="42"/>
      <c r="AT583" s="20"/>
      <c r="AU583" s="20"/>
      <c r="AV583" s="20"/>
      <c r="AW583" s="42"/>
      <c r="AX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42"/>
      <c r="AN584" s="20"/>
      <c r="AO584" s="20"/>
      <c r="AP584" s="42"/>
      <c r="AQ584" s="20"/>
      <c r="AR584" s="42"/>
      <c r="AS584" s="42"/>
      <c r="AT584" s="20"/>
      <c r="AU584" s="20"/>
      <c r="AV584" s="20"/>
      <c r="AW584" s="42"/>
      <c r="AX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42"/>
      <c r="AN585" s="20"/>
      <c r="AO585" s="20"/>
      <c r="AP585" s="42"/>
      <c r="AQ585" s="20"/>
      <c r="AR585" s="42"/>
      <c r="AS585" s="42"/>
      <c r="AT585" s="20"/>
      <c r="AU585" s="20"/>
      <c r="AV585" s="20"/>
      <c r="AW585" s="42"/>
      <c r="AX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42"/>
      <c r="AN586" s="20"/>
      <c r="AO586" s="20"/>
      <c r="AP586" s="42"/>
      <c r="AQ586" s="20"/>
      <c r="AR586" s="42"/>
      <c r="AS586" s="42"/>
      <c r="AT586" s="20"/>
      <c r="AU586" s="20"/>
      <c r="AV586" s="20"/>
      <c r="AW586" s="42"/>
      <c r="AX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42"/>
      <c r="AN587" s="20"/>
      <c r="AO587" s="20"/>
      <c r="AP587" s="42"/>
      <c r="AQ587" s="20"/>
      <c r="AR587" s="42"/>
      <c r="AS587" s="42"/>
      <c r="AT587" s="20"/>
      <c r="AU587" s="20"/>
      <c r="AV587" s="20"/>
      <c r="AW587" s="42"/>
      <c r="AX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42"/>
      <c r="AN588" s="20"/>
      <c r="AO588" s="20"/>
      <c r="AP588" s="42"/>
      <c r="AQ588" s="20"/>
      <c r="AR588" s="42"/>
      <c r="AS588" s="42"/>
      <c r="AT588" s="20"/>
      <c r="AU588" s="20"/>
      <c r="AV588" s="20"/>
      <c r="AW588" s="42"/>
      <c r="AX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42"/>
      <c r="AN589" s="20"/>
      <c r="AO589" s="20"/>
      <c r="AP589" s="42"/>
      <c r="AQ589" s="20"/>
      <c r="AR589" s="42"/>
      <c r="AS589" s="42"/>
      <c r="AT589" s="20"/>
      <c r="AU589" s="20"/>
      <c r="AV589" s="20"/>
      <c r="AW589" s="42"/>
      <c r="AX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42"/>
      <c r="AN590" s="20"/>
      <c r="AO590" s="20"/>
      <c r="AP590" s="42"/>
      <c r="AQ590" s="20"/>
      <c r="AR590" s="42"/>
      <c r="AS590" s="42"/>
      <c r="AT590" s="20"/>
      <c r="AU590" s="20"/>
      <c r="AV590" s="20"/>
      <c r="AW590" s="42"/>
      <c r="AX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42"/>
      <c r="AN591" s="20"/>
      <c r="AO591" s="20"/>
      <c r="AP591" s="42"/>
      <c r="AQ591" s="20"/>
      <c r="AR591" s="42"/>
      <c r="AS591" s="42"/>
      <c r="AT591" s="20"/>
      <c r="AU591" s="20"/>
      <c r="AV591" s="20"/>
      <c r="AW591" s="42"/>
      <c r="AX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42"/>
      <c r="AN592" s="20"/>
      <c r="AO592" s="20"/>
      <c r="AP592" s="42"/>
      <c r="AQ592" s="20"/>
      <c r="AR592" s="42"/>
      <c r="AS592" s="42"/>
      <c r="AT592" s="20"/>
      <c r="AU592" s="20"/>
      <c r="AV592" s="20"/>
      <c r="AW592" s="42"/>
      <c r="AX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42"/>
      <c r="AN593" s="20"/>
      <c r="AO593" s="20"/>
      <c r="AP593" s="42"/>
      <c r="AQ593" s="20"/>
      <c r="AR593" s="42"/>
      <c r="AS593" s="42"/>
      <c r="AT593" s="20"/>
      <c r="AU593" s="20"/>
      <c r="AV593" s="20"/>
      <c r="AW593" s="42"/>
      <c r="AX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42"/>
      <c r="AN594" s="20"/>
      <c r="AO594" s="20"/>
      <c r="AP594" s="42"/>
      <c r="AQ594" s="20"/>
      <c r="AR594" s="42"/>
      <c r="AS594" s="42"/>
      <c r="AT594" s="20"/>
      <c r="AU594" s="20"/>
      <c r="AV594" s="20"/>
      <c r="AW594" s="42"/>
      <c r="AX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42"/>
      <c r="AN595" s="20"/>
      <c r="AO595" s="20"/>
      <c r="AP595" s="42"/>
      <c r="AQ595" s="20"/>
      <c r="AR595" s="42"/>
      <c r="AS595" s="42"/>
      <c r="AT595" s="20"/>
      <c r="AU595" s="20"/>
      <c r="AV595" s="20"/>
      <c r="AW595" s="42"/>
      <c r="AX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42"/>
      <c r="AN596" s="20"/>
      <c r="AO596" s="20"/>
      <c r="AP596" s="42"/>
      <c r="AQ596" s="20"/>
      <c r="AR596" s="42"/>
      <c r="AS596" s="42"/>
      <c r="AT596" s="20"/>
      <c r="AU596" s="20"/>
      <c r="AV596" s="20"/>
      <c r="AW596" s="42"/>
      <c r="AX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42"/>
      <c r="AN597" s="20"/>
      <c r="AO597" s="20"/>
      <c r="AP597" s="42"/>
      <c r="AQ597" s="20"/>
      <c r="AR597" s="42"/>
      <c r="AS597" s="42"/>
      <c r="AT597" s="20"/>
      <c r="AU597" s="20"/>
      <c r="AV597" s="20"/>
      <c r="AW597" s="42"/>
      <c r="AX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42"/>
      <c r="AN598" s="20"/>
      <c r="AO598" s="20"/>
      <c r="AP598" s="42"/>
      <c r="AQ598" s="20"/>
      <c r="AR598" s="42"/>
      <c r="AS598" s="42"/>
      <c r="AT598" s="20"/>
      <c r="AU598" s="20"/>
      <c r="AV598" s="20"/>
      <c r="AW598" s="42"/>
      <c r="AX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42"/>
      <c r="AN599" s="20"/>
      <c r="AO599" s="20"/>
      <c r="AP599" s="42"/>
      <c r="AQ599" s="20"/>
      <c r="AR599" s="42"/>
      <c r="AS599" s="42"/>
      <c r="AT599" s="20"/>
      <c r="AU599" s="20"/>
      <c r="AV599" s="20"/>
      <c r="AW599" s="42"/>
      <c r="AX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42"/>
      <c r="AN600" s="20"/>
      <c r="AO600" s="20"/>
      <c r="AP600" s="42"/>
      <c r="AQ600" s="20"/>
      <c r="AR600" s="42"/>
      <c r="AS600" s="42"/>
      <c r="AT600" s="20"/>
      <c r="AU600" s="20"/>
      <c r="AV600" s="20"/>
      <c r="AW600" s="42"/>
      <c r="AX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42"/>
      <c r="AN601" s="20"/>
      <c r="AO601" s="20"/>
      <c r="AP601" s="42"/>
      <c r="AQ601" s="20"/>
      <c r="AR601" s="42"/>
      <c r="AS601" s="42"/>
      <c r="AT601" s="20"/>
      <c r="AU601" s="20"/>
      <c r="AV601" s="20"/>
      <c r="AW601" s="42"/>
      <c r="AX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42"/>
      <c r="AN602" s="20"/>
      <c r="AO602" s="20"/>
      <c r="AP602" s="42"/>
      <c r="AQ602" s="20"/>
      <c r="AR602" s="42"/>
      <c r="AS602" s="42"/>
      <c r="AT602" s="20"/>
      <c r="AU602" s="20"/>
      <c r="AV602" s="20"/>
      <c r="AW602" s="42"/>
      <c r="AX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42"/>
      <c r="AN603" s="20"/>
      <c r="AO603" s="20"/>
      <c r="AP603" s="42"/>
      <c r="AQ603" s="20"/>
      <c r="AR603" s="42"/>
      <c r="AS603" s="42"/>
      <c r="AT603" s="20"/>
      <c r="AU603" s="20"/>
      <c r="AV603" s="20"/>
      <c r="AW603" s="42"/>
      <c r="AX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42"/>
      <c r="AN604" s="20"/>
      <c r="AO604" s="20"/>
      <c r="AP604" s="42"/>
      <c r="AQ604" s="20"/>
      <c r="AR604" s="42"/>
      <c r="AS604" s="42"/>
      <c r="AT604" s="20"/>
      <c r="AU604" s="20"/>
      <c r="AV604" s="20"/>
      <c r="AW604" s="42"/>
      <c r="AX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42"/>
      <c r="AN605" s="20"/>
      <c r="AO605" s="20"/>
      <c r="AP605" s="42"/>
      <c r="AQ605" s="20"/>
      <c r="AR605" s="42"/>
      <c r="AS605" s="42"/>
      <c r="AT605" s="20"/>
      <c r="AU605" s="20"/>
      <c r="AV605" s="20"/>
      <c r="AW605" s="42"/>
      <c r="AX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42"/>
      <c r="AN606" s="20"/>
      <c r="AO606" s="20"/>
      <c r="AP606" s="42"/>
      <c r="AQ606" s="20"/>
      <c r="AR606" s="42"/>
      <c r="AS606" s="42"/>
      <c r="AT606" s="20"/>
      <c r="AU606" s="20"/>
      <c r="AV606" s="20"/>
      <c r="AW606" s="42"/>
      <c r="AX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42"/>
      <c r="AN607" s="20"/>
      <c r="AO607" s="20"/>
      <c r="AP607" s="42"/>
      <c r="AQ607" s="20"/>
      <c r="AR607" s="42"/>
      <c r="AS607" s="42"/>
      <c r="AT607" s="20"/>
      <c r="AU607" s="20"/>
      <c r="AV607" s="20"/>
      <c r="AW607" s="42"/>
      <c r="AX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42"/>
      <c r="AN608" s="20"/>
      <c r="AO608" s="20"/>
      <c r="AP608" s="42"/>
      <c r="AQ608" s="20"/>
      <c r="AR608" s="42"/>
      <c r="AS608" s="42"/>
      <c r="AT608" s="20"/>
      <c r="AU608" s="20"/>
      <c r="AV608" s="20"/>
      <c r="AW608" s="42"/>
      <c r="AX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42"/>
      <c r="AN609" s="20"/>
      <c r="AO609" s="20"/>
      <c r="AP609" s="42"/>
      <c r="AQ609" s="20"/>
      <c r="AR609" s="42"/>
      <c r="AS609" s="42"/>
      <c r="AT609" s="20"/>
      <c r="AU609" s="20"/>
      <c r="AV609" s="20"/>
      <c r="AW609" s="42"/>
      <c r="AX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42"/>
      <c r="AN610" s="20"/>
      <c r="AO610" s="20"/>
      <c r="AP610" s="42"/>
      <c r="AQ610" s="20"/>
      <c r="AR610" s="42"/>
      <c r="AS610" s="42"/>
      <c r="AT610" s="20"/>
      <c r="AU610" s="20"/>
      <c r="AV610" s="20"/>
      <c r="AW610" s="42"/>
      <c r="AX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42"/>
      <c r="AN611" s="20"/>
      <c r="AO611" s="20"/>
      <c r="AP611" s="42"/>
      <c r="AQ611" s="20"/>
      <c r="AR611" s="42"/>
      <c r="AS611" s="42"/>
      <c r="AT611" s="20"/>
      <c r="AU611" s="20"/>
      <c r="AV611" s="20"/>
      <c r="AW611" s="42"/>
      <c r="AX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42"/>
      <c r="AN612" s="20"/>
      <c r="AO612" s="20"/>
      <c r="AP612" s="42"/>
      <c r="AQ612" s="20"/>
      <c r="AR612" s="42"/>
      <c r="AS612" s="42"/>
      <c r="AT612" s="20"/>
      <c r="AU612" s="20"/>
      <c r="AV612" s="20"/>
      <c r="AW612" s="42"/>
      <c r="AX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42"/>
      <c r="AN613" s="20"/>
      <c r="AO613" s="20"/>
      <c r="AP613" s="42"/>
      <c r="AQ613" s="20"/>
      <c r="AR613" s="42"/>
      <c r="AS613" s="42"/>
      <c r="AT613" s="20"/>
      <c r="AU613" s="20"/>
      <c r="AV613" s="20"/>
      <c r="AW613" s="42"/>
      <c r="AX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42"/>
      <c r="AN614" s="20"/>
      <c r="AO614" s="20"/>
      <c r="AP614" s="42"/>
      <c r="AQ614" s="20"/>
      <c r="AR614" s="42"/>
      <c r="AS614" s="42"/>
      <c r="AT614" s="20"/>
      <c r="AU614" s="20"/>
      <c r="AV614" s="20"/>
      <c r="AW614" s="42"/>
      <c r="AX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42"/>
      <c r="AN615" s="20"/>
      <c r="AO615" s="20"/>
      <c r="AP615" s="42"/>
      <c r="AQ615" s="20"/>
      <c r="AR615" s="42"/>
      <c r="AS615" s="42"/>
      <c r="AT615" s="20"/>
      <c r="AU615" s="20"/>
      <c r="AV615" s="20"/>
      <c r="AW615" s="42"/>
      <c r="AX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42"/>
      <c r="AN616" s="20"/>
      <c r="AO616" s="20"/>
      <c r="AP616" s="42"/>
      <c r="AQ616" s="20"/>
      <c r="AR616" s="42"/>
      <c r="AS616" s="42"/>
      <c r="AT616" s="20"/>
      <c r="AU616" s="20"/>
      <c r="AV616" s="20"/>
      <c r="AW616" s="42"/>
      <c r="AX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42"/>
      <c r="AN617" s="20"/>
      <c r="AO617" s="20"/>
      <c r="AP617" s="42"/>
      <c r="AQ617" s="20"/>
      <c r="AR617" s="42"/>
      <c r="AS617" s="42"/>
      <c r="AT617" s="20"/>
      <c r="AU617" s="20"/>
      <c r="AV617" s="20"/>
      <c r="AW617" s="42"/>
      <c r="AX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42"/>
      <c r="AN618" s="20"/>
      <c r="AO618" s="20"/>
      <c r="AP618" s="42"/>
      <c r="AQ618" s="20"/>
      <c r="AR618" s="42"/>
      <c r="AS618" s="42"/>
      <c r="AT618" s="20"/>
      <c r="AU618" s="20"/>
      <c r="AV618" s="20"/>
      <c r="AW618" s="42"/>
      <c r="AX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42"/>
      <c r="AN619" s="20"/>
      <c r="AO619" s="20"/>
      <c r="AP619" s="42"/>
      <c r="AQ619" s="20"/>
      <c r="AR619" s="42"/>
      <c r="AS619" s="42"/>
      <c r="AT619" s="20"/>
      <c r="AU619" s="20"/>
      <c r="AV619" s="20"/>
      <c r="AW619" s="42"/>
      <c r="AX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42"/>
      <c r="AN620" s="20"/>
      <c r="AO620" s="20"/>
      <c r="AP620" s="42"/>
      <c r="AQ620" s="20"/>
      <c r="AR620" s="42"/>
      <c r="AS620" s="42"/>
      <c r="AT620" s="20"/>
      <c r="AU620" s="20"/>
      <c r="AV620" s="20"/>
      <c r="AW620" s="42"/>
      <c r="AX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42"/>
      <c r="AN621" s="20"/>
      <c r="AO621" s="20"/>
      <c r="AP621" s="42"/>
      <c r="AQ621" s="20"/>
      <c r="AR621" s="42"/>
      <c r="AS621" s="42"/>
      <c r="AT621" s="20"/>
      <c r="AU621" s="20"/>
      <c r="AV621" s="20"/>
      <c r="AW621" s="42"/>
      <c r="AX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42"/>
      <c r="AN622" s="20"/>
      <c r="AO622" s="20"/>
      <c r="AP622" s="42"/>
      <c r="AQ622" s="20"/>
      <c r="AR622" s="42"/>
      <c r="AS622" s="42"/>
      <c r="AT622" s="20"/>
      <c r="AU622" s="20"/>
      <c r="AV622" s="20"/>
      <c r="AW622" s="42"/>
      <c r="AX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42"/>
      <c r="AN623" s="20"/>
      <c r="AO623" s="20"/>
      <c r="AP623" s="42"/>
      <c r="AQ623" s="20"/>
      <c r="AR623" s="42"/>
      <c r="AS623" s="42"/>
      <c r="AT623" s="20"/>
      <c r="AU623" s="20"/>
      <c r="AV623" s="20"/>
      <c r="AW623" s="42"/>
      <c r="AX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42"/>
      <c r="AN624" s="20"/>
      <c r="AO624" s="20"/>
      <c r="AP624" s="42"/>
      <c r="AQ624" s="20"/>
      <c r="AR624" s="42"/>
      <c r="AS624" s="42"/>
      <c r="AT624" s="20"/>
      <c r="AU624" s="20"/>
      <c r="AV624" s="20"/>
      <c r="AW624" s="42"/>
      <c r="AX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42"/>
      <c r="AN625" s="20"/>
      <c r="AO625" s="20"/>
      <c r="AP625" s="42"/>
      <c r="AQ625" s="20"/>
      <c r="AR625" s="42"/>
      <c r="AS625" s="42"/>
      <c r="AT625" s="20"/>
      <c r="AU625" s="20"/>
      <c r="AV625" s="20"/>
      <c r="AW625" s="42"/>
      <c r="AX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42"/>
      <c r="AN626" s="20"/>
      <c r="AO626" s="20"/>
      <c r="AP626" s="42"/>
      <c r="AQ626" s="20"/>
      <c r="AR626" s="42"/>
      <c r="AS626" s="42"/>
      <c r="AT626" s="20"/>
      <c r="AU626" s="20"/>
      <c r="AV626" s="20"/>
      <c r="AW626" s="42"/>
      <c r="AX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42"/>
      <c r="AN627" s="20"/>
      <c r="AO627" s="20"/>
      <c r="AP627" s="42"/>
      <c r="AQ627" s="20"/>
      <c r="AR627" s="42"/>
      <c r="AS627" s="42"/>
      <c r="AT627" s="20"/>
      <c r="AU627" s="20"/>
      <c r="AV627" s="20"/>
      <c r="AW627" s="42"/>
      <c r="AX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42"/>
      <c r="AN628" s="20"/>
      <c r="AO628" s="20"/>
      <c r="AP628" s="42"/>
      <c r="AQ628" s="20"/>
      <c r="AR628" s="42"/>
      <c r="AS628" s="42"/>
      <c r="AT628" s="20"/>
      <c r="AU628" s="20"/>
      <c r="AV628" s="20"/>
      <c r="AW628" s="42"/>
      <c r="AX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42"/>
      <c r="AN629" s="20"/>
      <c r="AO629" s="20"/>
      <c r="AP629" s="42"/>
      <c r="AQ629" s="20"/>
      <c r="AR629" s="42"/>
      <c r="AS629" s="42"/>
      <c r="AT629" s="20"/>
      <c r="AU629" s="20"/>
      <c r="AV629" s="20"/>
      <c r="AW629" s="42"/>
      <c r="AX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42"/>
      <c r="AN630" s="20"/>
      <c r="AO630" s="20"/>
      <c r="AP630" s="42"/>
      <c r="AQ630" s="20"/>
      <c r="AR630" s="42"/>
      <c r="AS630" s="42"/>
      <c r="AT630" s="20"/>
      <c r="AU630" s="20"/>
      <c r="AV630" s="20"/>
      <c r="AW630" s="42"/>
      <c r="AX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42"/>
      <c r="AN631" s="20"/>
      <c r="AO631" s="20"/>
      <c r="AP631" s="42"/>
      <c r="AQ631" s="20"/>
      <c r="AR631" s="42"/>
      <c r="AS631" s="42"/>
      <c r="AT631" s="20"/>
      <c r="AU631" s="20"/>
      <c r="AV631" s="20"/>
      <c r="AW631" s="42"/>
      <c r="AX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42"/>
      <c r="AN632" s="20"/>
      <c r="AO632" s="20"/>
      <c r="AP632" s="42"/>
      <c r="AQ632" s="20"/>
      <c r="AR632" s="42"/>
      <c r="AS632" s="42"/>
      <c r="AT632" s="20"/>
      <c r="AU632" s="20"/>
      <c r="AV632" s="20"/>
      <c r="AW632" s="42"/>
      <c r="AX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42"/>
      <c r="AN633" s="20"/>
      <c r="AO633" s="20"/>
      <c r="AP633" s="42"/>
      <c r="AQ633" s="20"/>
      <c r="AR633" s="42"/>
      <c r="AS633" s="42"/>
      <c r="AT633" s="20"/>
      <c r="AU633" s="20"/>
      <c r="AV633" s="20"/>
      <c r="AW633" s="42"/>
      <c r="AX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42"/>
      <c r="AN634" s="20"/>
      <c r="AO634" s="20"/>
      <c r="AP634" s="42"/>
      <c r="AQ634" s="20"/>
      <c r="AR634" s="42"/>
      <c r="AS634" s="42"/>
      <c r="AT634" s="20"/>
      <c r="AU634" s="20"/>
      <c r="AV634" s="20"/>
      <c r="AW634" s="42"/>
      <c r="AX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42"/>
      <c r="AN635" s="20"/>
      <c r="AO635" s="20"/>
      <c r="AP635" s="42"/>
      <c r="AQ635" s="20"/>
      <c r="AR635" s="42"/>
      <c r="AS635" s="42"/>
      <c r="AT635" s="20"/>
      <c r="AU635" s="20"/>
      <c r="AV635" s="20"/>
      <c r="AW635" s="42"/>
      <c r="AX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42"/>
      <c r="AN636" s="20"/>
      <c r="AO636" s="20"/>
      <c r="AP636" s="42"/>
      <c r="AQ636" s="20"/>
      <c r="AR636" s="42"/>
      <c r="AS636" s="42"/>
      <c r="AT636" s="20"/>
      <c r="AU636" s="20"/>
      <c r="AV636" s="20"/>
      <c r="AW636" s="42"/>
      <c r="AX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42"/>
      <c r="AN637" s="20"/>
      <c r="AO637" s="20"/>
      <c r="AP637" s="42"/>
      <c r="AQ637" s="20"/>
      <c r="AR637" s="42"/>
      <c r="AS637" s="42"/>
      <c r="AT637" s="20"/>
      <c r="AU637" s="20"/>
      <c r="AV637" s="20"/>
      <c r="AW637" s="42"/>
      <c r="AX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42"/>
      <c r="AN638" s="20"/>
      <c r="AO638" s="20"/>
      <c r="AP638" s="42"/>
      <c r="AQ638" s="20"/>
      <c r="AR638" s="42"/>
      <c r="AS638" s="42"/>
      <c r="AT638" s="20"/>
      <c r="AU638" s="20"/>
      <c r="AV638" s="20"/>
      <c r="AW638" s="42"/>
      <c r="AX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42"/>
      <c r="AN639" s="20"/>
      <c r="AO639" s="20"/>
      <c r="AP639" s="42"/>
      <c r="AQ639" s="20"/>
      <c r="AR639" s="42"/>
      <c r="AS639" s="42"/>
      <c r="AT639" s="20"/>
      <c r="AU639" s="20"/>
      <c r="AV639" s="20"/>
      <c r="AW639" s="42"/>
      <c r="AX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42"/>
      <c r="AN640" s="20"/>
      <c r="AO640" s="20"/>
      <c r="AP640" s="42"/>
      <c r="AQ640" s="20"/>
      <c r="AR640" s="42"/>
      <c r="AS640" s="42"/>
      <c r="AT640" s="20"/>
      <c r="AU640" s="20"/>
      <c r="AV640" s="20"/>
      <c r="AW640" s="42"/>
      <c r="AX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42"/>
      <c r="AN641" s="20"/>
      <c r="AO641" s="20"/>
      <c r="AP641" s="42"/>
      <c r="AQ641" s="20"/>
      <c r="AR641" s="42"/>
      <c r="AS641" s="42"/>
      <c r="AT641" s="20"/>
      <c r="AU641" s="20"/>
      <c r="AV641" s="20"/>
      <c r="AW641" s="42"/>
      <c r="AX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42"/>
      <c r="AN642" s="20"/>
      <c r="AO642" s="20"/>
      <c r="AP642" s="42"/>
      <c r="AQ642" s="20"/>
      <c r="AR642" s="42"/>
      <c r="AS642" s="42"/>
      <c r="AT642" s="20"/>
      <c r="AU642" s="20"/>
      <c r="AV642" s="20"/>
      <c r="AW642" s="42"/>
      <c r="AX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42"/>
      <c r="AN643" s="20"/>
      <c r="AO643" s="20"/>
      <c r="AP643" s="42"/>
      <c r="AQ643" s="20"/>
      <c r="AR643" s="42"/>
      <c r="AS643" s="42"/>
      <c r="AT643" s="20"/>
      <c r="AU643" s="20"/>
      <c r="AV643" s="20"/>
      <c r="AW643" s="42"/>
      <c r="AX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42"/>
      <c r="AN644" s="20"/>
      <c r="AO644" s="20"/>
      <c r="AP644" s="42"/>
      <c r="AQ644" s="20"/>
      <c r="AR644" s="42"/>
      <c r="AS644" s="42"/>
      <c r="AT644" s="20"/>
      <c r="AU644" s="20"/>
      <c r="AV644" s="20"/>
      <c r="AW644" s="42"/>
      <c r="AX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42"/>
      <c r="AN645" s="20"/>
      <c r="AO645" s="20"/>
      <c r="AP645" s="42"/>
      <c r="AQ645" s="20"/>
      <c r="AR645" s="42"/>
      <c r="AS645" s="42"/>
      <c r="AT645" s="20"/>
      <c r="AU645" s="20"/>
      <c r="AV645" s="20"/>
      <c r="AW645" s="42"/>
      <c r="AX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42"/>
      <c r="AN646" s="20"/>
      <c r="AO646" s="20"/>
      <c r="AP646" s="42"/>
      <c r="AQ646" s="20"/>
      <c r="AR646" s="42"/>
      <c r="AS646" s="42"/>
      <c r="AT646" s="20"/>
      <c r="AU646" s="20"/>
      <c r="AV646" s="20"/>
      <c r="AW646" s="42"/>
      <c r="AX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42"/>
      <c r="AN647" s="20"/>
      <c r="AO647" s="20"/>
      <c r="AP647" s="42"/>
      <c r="AQ647" s="20"/>
      <c r="AR647" s="42"/>
      <c r="AS647" s="42"/>
      <c r="AT647" s="20"/>
      <c r="AU647" s="20"/>
      <c r="AV647" s="20"/>
      <c r="AW647" s="42"/>
      <c r="AX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42"/>
      <c r="AN648" s="20"/>
      <c r="AO648" s="20"/>
      <c r="AP648" s="42"/>
      <c r="AQ648" s="20"/>
      <c r="AR648" s="42"/>
      <c r="AS648" s="42"/>
      <c r="AT648" s="20"/>
      <c r="AU648" s="20"/>
      <c r="AV648" s="20"/>
      <c r="AW648" s="42"/>
      <c r="AX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42"/>
      <c r="AN649" s="20"/>
      <c r="AO649" s="20"/>
      <c r="AP649" s="42"/>
      <c r="AQ649" s="20"/>
      <c r="AR649" s="42"/>
      <c r="AS649" s="42"/>
      <c r="AT649" s="20"/>
      <c r="AU649" s="20"/>
      <c r="AV649" s="20"/>
      <c r="AW649" s="42"/>
      <c r="AX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42"/>
      <c r="AN650" s="20"/>
      <c r="AO650" s="20"/>
      <c r="AP650" s="42"/>
      <c r="AQ650" s="20"/>
      <c r="AR650" s="42"/>
      <c r="AS650" s="42"/>
      <c r="AT650" s="20"/>
      <c r="AU650" s="20"/>
      <c r="AV650" s="20"/>
      <c r="AW650" s="42"/>
      <c r="AX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42"/>
      <c r="AN651" s="20"/>
      <c r="AO651" s="20"/>
      <c r="AP651" s="42"/>
      <c r="AQ651" s="20"/>
      <c r="AR651" s="42"/>
      <c r="AS651" s="42"/>
      <c r="AT651" s="20"/>
      <c r="AU651" s="20"/>
      <c r="AV651" s="20"/>
      <c r="AW651" s="42"/>
      <c r="AX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42"/>
      <c r="AN652" s="20"/>
      <c r="AO652" s="20"/>
      <c r="AP652" s="42"/>
      <c r="AQ652" s="20"/>
      <c r="AR652" s="42"/>
      <c r="AS652" s="42"/>
      <c r="AT652" s="20"/>
      <c r="AU652" s="20"/>
      <c r="AV652" s="20"/>
      <c r="AW652" s="42"/>
      <c r="AX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42"/>
      <c r="AN653" s="20"/>
      <c r="AO653" s="20"/>
      <c r="AP653" s="42"/>
      <c r="AQ653" s="20"/>
      <c r="AR653" s="42"/>
      <c r="AS653" s="42"/>
      <c r="AT653" s="20"/>
      <c r="AU653" s="20"/>
      <c r="AV653" s="20"/>
      <c r="AW653" s="42"/>
      <c r="AX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42"/>
      <c r="AN654" s="20"/>
      <c r="AO654" s="20"/>
      <c r="AP654" s="42"/>
      <c r="AQ654" s="20"/>
      <c r="AR654" s="42"/>
      <c r="AS654" s="42"/>
      <c r="AT654" s="20"/>
      <c r="AU654" s="20"/>
      <c r="AV654" s="20"/>
      <c r="AW654" s="42"/>
      <c r="AX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42"/>
      <c r="AN655" s="20"/>
      <c r="AO655" s="20"/>
      <c r="AP655" s="42"/>
      <c r="AQ655" s="20"/>
      <c r="AR655" s="42"/>
      <c r="AS655" s="42"/>
      <c r="AT655" s="20"/>
      <c r="AU655" s="20"/>
      <c r="AV655" s="20"/>
      <c r="AW655" s="42"/>
      <c r="AX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42"/>
      <c r="AN656" s="20"/>
      <c r="AO656" s="20"/>
      <c r="AP656" s="42"/>
      <c r="AQ656" s="20"/>
      <c r="AR656" s="42"/>
      <c r="AS656" s="42"/>
      <c r="AT656" s="20"/>
      <c r="AU656" s="20"/>
      <c r="AV656" s="20"/>
      <c r="AW656" s="42"/>
      <c r="AX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42"/>
      <c r="AN657" s="20"/>
      <c r="AO657" s="20"/>
      <c r="AP657" s="42"/>
      <c r="AQ657" s="20"/>
      <c r="AR657" s="42"/>
      <c r="AS657" s="42"/>
      <c r="AT657" s="20"/>
      <c r="AU657" s="20"/>
      <c r="AV657" s="20"/>
      <c r="AW657" s="42"/>
      <c r="AX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42"/>
      <c r="AN658" s="20"/>
      <c r="AO658" s="20"/>
      <c r="AP658" s="42"/>
      <c r="AQ658" s="20"/>
      <c r="AR658" s="42"/>
      <c r="AS658" s="42"/>
      <c r="AT658" s="20"/>
      <c r="AU658" s="20"/>
      <c r="AV658" s="20"/>
      <c r="AW658" s="42"/>
      <c r="AX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42"/>
      <c r="AN659" s="20"/>
      <c r="AO659" s="20"/>
      <c r="AP659" s="42"/>
      <c r="AQ659" s="20"/>
      <c r="AR659" s="42"/>
      <c r="AS659" s="42"/>
      <c r="AT659" s="20"/>
      <c r="AU659" s="20"/>
      <c r="AV659" s="20"/>
      <c r="AW659" s="42"/>
      <c r="AX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42"/>
      <c r="AN660" s="20"/>
      <c r="AO660" s="20"/>
      <c r="AP660" s="42"/>
      <c r="AQ660" s="20"/>
      <c r="AR660" s="42"/>
      <c r="AS660" s="42"/>
      <c r="AT660" s="20"/>
      <c r="AU660" s="20"/>
      <c r="AV660" s="20"/>
      <c r="AW660" s="42"/>
      <c r="AX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42"/>
      <c r="AN661" s="20"/>
      <c r="AO661" s="20"/>
      <c r="AP661" s="42"/>
      <c r="AQ661" s="20"/>
      <c r="AR661" s="42"/>
      <c r="AS661" s="42"/>
      <c r="AT661" s="20"/>
      <c r="AU661" s="20"/>
      <c r="AV661" s="20"/>
      <c r="AW661" s="42"/>
      <c r="AX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42"/>
      <c r="AN662" s="20"/>
      <c r="AO662" s="20"/>
      <c r="AP662" s="42"/>
      <c r="AQ662" s="20"/>
      <c r="AR662" s="42"/>
      <c r="AS662" s="42"/>
      <c r="AT662" s="20"/>
      <c r="AU662" s="20"/>
      <c r="AV662" s="20"/>
      <c r="AW662" s="42"/>
      <c r="AX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42"/>
      <c r="AN663" s="20"/>
      <c r="AO663" s="20"/>
      <c r="AP663" s="42"/>
      <c r="AQ663" s="20"/>
      <c r="AR663" s="42"/>
      <c r="AS663" s="42"/>
      <c r="AT663" s="20"/>
      <c r="AU663" s="20"/>
      <c r="AV663" s="20"/>
      <c r="AW663" s="42"/>
      <c r="AX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42"/>
      <c r="AN664" s="20"/>
      <c r="AO664" s="20"/>
      <c r="AP664" s="42"/>
      <c r="AQ664" s="20"/>
      <c r="AR664" s="42"/>
      <c r="AS664" s="42"/>
      <c r="AT664" s="20"/>
      <c r="AU664" s="20"/>
      <c r="AV664" s="20"/>
      <c r="AW664" s="42"/>
      <c r="AX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42"/>
      <c r="AN665" s="20"/>
      <c r="AO665" s="20"/>
      <c r="AP665" s="42"/>
      <c r="AQ665" s="20"/>
      <c r="AR665" s="42"/>
      <c r="AS665" s="42"/>
      <c r="AT665" s="20"/>
      <c r="AU665" s="20"/>
      <c r="AV665" s="20"/>
      <c r="AW665" s="42"/>
      <c r="AX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42"/>
      <c r="AN666" s="20"/>
      <c r="AO666" s="20"/>
      <c r="AP666" s="42"/>
      <c r="AQ666" s="20"/>
      <c r="AR666" s="42"/>
      <c r="AS666" s="42"/>
      <c r="AT666" s="20"/>
      <c r="AU666" s="20"/>
      <c r="AV666" s="20"/>
      <c r="AW666" s="42"/>
      <c r="AX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42"/>
      <c r="AN667" s="20"/>
      <c r="AO667" s="20"/>
      <c r="AP667" s="42"/>
      <c r="AQ667" s="20"/>
      <c r="AR667" s="42"/>
      <c r="AS667" s="42"/>
      <c r="AT667" s="20"/>
      <c r="AU667" s="20"/>
      <c r="AV667" s="20"/>
      <c r="AW667" s="42"/>
      <c r="AX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42"/>
      <c r="AN668" s="20"/>
      <c r="AO668" s="20"/>
      <c r="AP668" s="42"/>
      <c r="AQ668" s="20"/>
      <c r="AR668" s="42"/>
      <c r="AS668" s="42"/>
      <c r="AT668" s="20"/>
      <c r="AU668" s="20"/>
      <c r="AV668" s="20"/>
      <c r="AW668" s="42"/>
      <c r="AX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42"/>
      <c r="AN669" s="20"/>
      <c r="AO669" s="20"/>
      <c r="AP669" s="42"/>
      <c r="AQ669" s="20"/>
      <c r="AR669" s="42"/>
      <c r="AS669" s="42"/>
      <c r="AT669" s="20"/>
      <c r="AU669" s="20"/>
      <c r="AV669" s="20"/>
      <c r="AW669" s="42"/>
      <c r="AX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42"/>
      <c r="AN670" s="20"/>
      <c r="AO670" s="20"/>
      <c r="AP670" s="42"/>
      <c r="AQ670" s="20"/>
      <c r="AR670" s="42"/>
      <c r="AS670" s="42"/>
      <c r="AT670" s="20"/>
      <c r="AU670" s="20"/>
      <c r="AV670" s="20"/>
      <c r="AW670" s="42"/>
      <c r="AX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42"/>
      <c r="AN671" s="20"/>
      <c r="AO671" s="20"/>
      <c r="AP671" s="42"/>
      <c r="AQ671" s="20"/>
      <c r="AR671" s="42"/>
      <c r="AS671" s="42"/>
      <c r="AT671" s="20"/>
      <c r="AU671" s="20"/>
      <c r="AV671" s="20"/>
      <c r="AW671" s="42"/>
      <c r="AX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42"/>
      <c r="AN672" s="20"/>
      <c r="AO672" s="20"/>
      <c r="AP672" s="42"/>
      <c r="AQ672" s="20"/>
      <c r="AR672" s="42"/>
      <c r="AS672" s="42"/>
      <c r="AT672" s="20"/>
      <c r="AU672" s="20"/>
      <c r="AV672" s="20"/>
      <c r="AW672" s="42"/>
      <c r="AX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42"/>
      <c r="AN673" s="20"/>
      <c r="AO673" s="20"/>
      <c r="AP673" s="42"/>
      <c r="AQ673" s="20"/>
      <c r="AR673" s="42"/>
      <c r="AS673" s="42"/>
      <c r="AT673" s="20"/>
      <c r="AU673" s="20"/>
      <c r="AV673" s="20"/>
      <c r="AW673" s="42"/>
      <c r="AX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42"/>
      <c r="AN674" s="20"/>
      <c r="AO674" s="20"/>
      <c r="AP674" s="42"/>
      <c r="AQ674" s="20"/>
      <c r="AR674" s="42"/>
      <c r="AS674" s="42"/>
      <c r="AT674" s="20"/>
      <c r="AU674" s="20"/>
      <c r="AV674" s="20"/>
      <c r="AW674" s="42"/>
      <c r="AX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42"/>
      <c r="AN675" s="20"/>
      <c r="AO675" s="20"/>
      <c r="AP675" s="42"/>
      <c r="AQ675" s="20"/>
      <c r="AR675" s="42"/>
      <c r="AS675" s="42"/>
      <c r="AT675" s="20"/>
      <c r="AU675" s="20"/>
      <c r="AV675" s="20"/>
      <c r="AW675" s="42"/>
      <c r="AX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42"/>
      <c r="AN676" s="20"/>
      <c r="AO676" s="20"/>
      <c r="AP676" s="42"/>
      <c r="AQ676" s="20"/>
      <c r="AR676" s="42"/>
      <c r="AS676" s="42"/>
      <c r="AT676" s="20"/>
      <c r="AU676" s="20"/>
      <c r="AV676" s="20"/>
      <c r="AW676" s="42"/>
      <c r="AX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42"/>
      <c r="AN677" s="20"/>
      <c r="AO677" s="20"/>
      <c r="AP677" s="42"/>
      <c r="AQ677" s="20"/>
      <c r="AR677" s="42"/>
      <c r="AS677" s="42"/>
      <c r="AT677" s="20"/>
      <c r="AU677" s="20"/>
      <c r="AV677" s="20"/>
      <c r="AW677" s="42"/>
      <c r="AX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42"/>
      <c r="AN678" s="20"/>
      <c r="AO678" s="20"/>
      <c r="AP678" s="42"/>
      <c r="AQ678" s="20"/>
      <c r="AR678" s="42"/>
      <c r="AS678" s="42"/>
      <c r="AT678" s="20"/>
      <c r="AU678" s="20"/>
      <c r="AV678" s="20"/>
      <c r="AW678" s="42"/>
      <c r="AX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42"/>
      <c r="AN679" s="20"/>
      <c r="AO679" s="20"/>
      <c r="AP679" s="42"/>
      <c r="AQ679" s="20"/>
      <c r="AR679" s="42"/>
      <c r="AS679" s="42"/>
      <c r="AT679" s="20"/>
      <c r="AU679" s="20"/>
      <c r="AV679" s="20"/>
      <c r="AW679" s="42"/>
      <c r="AX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42"/>
      <c r="AN680" s="20"/>
      <c r="AO680" s="20"/>
      <c r="AP680" s="42"/>
      <c r="AQ680" s="20"/>
      <c r="AR680" s="42"/>
      <c r="AS680" s="42"/>
      <c r="AT680" s="20"/>
      <c r="AU680" s="20"/>
      <c r="AV680" s="20"/>
      <c r="AW680" s="42"/>
      <c r="AX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42"/>
      <c r="AN681" s="20"/>
      <c r="AO681" s="20"/>
      <c r="AP681" s="42"/>
      <c r="AQ681" s="20"/>
      <c r="AR681" s="42"/>
      <c r="AS681" s="42"/>
      <c r="AT681" s="20"/>
      <c r="AU681" s="20"/>
      <c r="AV681" s="20"/>
      <c r="AW681" s="42"/>
      <c r="AX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42"/>
      <c r="AN682" s="20"/>
      <c r="AO682" s="20"/>
      <c r="AP682" s="42"/>
      <c r="AQ682" s="20"/>
      <c r="AR682" s="42"/>
      <c r="AS682" s="42"/>
      <c r="AT682" s="20"/>
      <c r="AU682" s="20"/>
      <c r="AV682" s="20"/>
      <c r="AW682" s="42"/>
      <c r="AX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42"/>
      <c r="AN683" s="20"/>
      <c r="AO683" s="20"/>
      <c r="AP683" s="42"/>
      <c r="AQ683" s="20"/>
      <c r="AR683" s="42"/>
      <c r="AS683" s="42"/>
      <c r="AT683" s="20"/>
      <c r="AU683" s="20"/>
      <c r="AV683" s="20"/>
      <c r="AW683" s="42"/>
      <c r="AX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42"/>
      <c r="AN684" s="20"/>
      <c r="AO684" s="20"/>
      <c r="AP684" s="42"/>
      <c r="AQ684" s="20"/>
      <c r="AR684" s="42"/>
      <c r="AS684" s="42"/>
      <c r="AT684" s="20"/>
      <c r="AU684" s="20"/>
      <c r="AV684" s="20"/>
      <c r="AW684" s="42"/>
      <c r="AX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42"/>
      <c r="AN685" s="20"/>
      <c r="AO685" s="20"/>
      <c r="AP685" s="42"/>
      <c r="AQ685" s="20"/>
      <c r="AR685" s="42"/>
      <c r="AS685" s="42"/>
      <c r="AT685" s="20"/>
      <c r="AU685" s="20"/>
      <c r="AV685" s="20"/>
      <c r="AW685" s="42"/>
      <c r="AX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42"/>
      <c r="AN686" s="20"/>
      <c r="AO686" s="20"/>
      <c r="AP686" s="42"/>
      <c r="AQ686" s="20"/>
      <c r="AR686" s="42"/>
      <c r="AS686" s="42"/>
      <c r="AT686" s="20"/>
      <c r="AU686" s="20"/>
      <c r="AV686" s="20"/>
      <c r="AW686" s="42"/>
      <c r="AX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42"/>
      <c r="AN687" s="20"/>
      <c r="AO687" s="20"/>
      <c r="AP687" s="42"/>
      <c r="AQ687" s="20"/>
      <c r="AR687" s="42"/>
      <c r="AS687" s="42"/>
      <c r="AT687" s="20"/>
      <c r="AU687" s="20"/>
      <c r="AV687" s="20"/>
      <c r="AW687" s="42"/>
      <c r="AX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42"/>
      <c r="AN688" s="20"/>
      <c r="AO688" s="20"/>
      <c r="AP688" s="42"/>
      <c r="AQ688" s="20"/>
      <c r="AR688" s="42"/>
      <c r="AS688" s="42"/>
      <c r="AT688" s="20"/>
      <c r="AU688" s="20"/>
      <c r="AV688" s="20"/>
      <c r="AW688" s="42"/>
      <c r="AX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42"/>
      <c r="AN689" s="20"/>
      <c r="AO689" s="20"/>
      <c r="AP689" s="42"/>
      <c r="AQ689" s="20"/>
      <c r="AR689" s="42"/>
      <c r="AS689" s="42"/>
      <c r="AT689" s="20"/>
      <c r="AU689" s="20"/>
      <c r="AV689" s="20"/>
      <c r="AW689" s="42"/>
      <c r="AX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42"/>
      <c r="AN690" s="20"/>
      <c r="AO690" s="20"/>
      <c r="AP690" s="42"/>
      <c r="AQ690" s="20"/>
      <c r="AR690" s="42"/>
      <c r="AS690" s="42"/>
      <c r="AT690" s="20"/>
      <c r="AU690" s="20"/>
      <c r="AV690" s="20"/>
      <c r="AW690" s="42"/>
      <c r="AX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42"/>
      <c r="AN691" s="20"/>
      <c r="AO691" s="20"/>
      <c r="AP691" s="42"/>
      <c r="AQ691" s="20"/>
      <c r="AR691" s="42"/>
      <c r="AS691" s="42"/>
      <c r="AT691" s="20"/>
      <c r="AU691" s="20"/>
      <c r="AV691" s="20"/>
      <c r="AW691" s="42"/>
      <c r="AX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42"/>
      <c r="AN692" s="20"/>
      <c r="AO692" s="20"/>
      <c r="AP692" s="42"/>
      <c r="AQ692" s="20"/>
      <c r="AR692" s="42"/>
      <c r="AS692" s="42"/>
      <c r="AT692" s="20"/>
      <c r="AU692" s="20"/>
      <c r="AV692" s="20"/>
      <c r="AW692" s="42"/>
      <c r="AX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42"/>
      <c r="AN693" s="20"/>
      <c r="AO693" s="20"/>
      <c r="AP693" s="42"/>
      <c r="AQ693" s="20"/>
      <c r="AR693" s="42"/>
      <c r="AS693" s="42"/>
      <c r="AT693" s="20"/>
      <c r="AU693" s="20"/>
      <c r="AV693" s="20"/>
      <c r="AW693" s="42"/>
      <c r="AX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42"/>
      <c r="AN694" s="20"/>
      <c r="AO694" s="20"/>
      <c r="AP694" s="42"/>
      <c r="AQ694" s="20"/>
      <c r="AR694" s="42"/>
      <c r="AS694" s="42"/>
      <c r="AT694" s="20"/>
      <c r="AU694" s="20"/>
      <c r="AV694" s="20"/>
      <c r="AW694" s="42"/>
      <c r="AX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42"/>
      <c r="AN695" s="20"/>
      <c r="AO695" s="20"/>
      <c r="AP695" s="42"/>
      <c r="AQ695" s="20"/>
      <c r="AR695" s="42"/>
      <c r="AS695" s="42"/>
      <c r="AT695" s="20"/>
      <c r="AU695" s="20"/>
      <c r="AV695" s="20"/>
      <c r="AW695" s="42"/>
      <c r="AX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42"/>
      <c r="AN696" s="20"/>
      <c r="AO696" s="20"/>
      <c r="AP696" s="42"/>
      <c r="AQ696" s="20"/>
      <c r="AR696" s="42"/>
      <c r="AS696" s="42"/>
      <c r="AT696" s="20"/>
      <c r="AU696" s="20"/>
      <c r="AV696" s="20"/>
      <c r="AW696" s="42"/>
      <c r="AX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42"/>
      <c r="AN697" s="20"/>
      <c r="AO697" s="20"/>
      <c r="AP697" s="42"/>
      <c r="AQ697" s="20"/>
      <c r="AR697" s="42"/>
      <c r="AS697" s="42"/>
      <c r="AT697" s="20"/>
      <c r="AU697" s="20"/>
      <c r="AV697" s="20"/>
      <c r="AW697" s="42"/>
      <c r="AX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42"/>
      <c r="AN698" s="20"/>
      <c r="AO698" s="20"/>
      <c r="AP698" s="42"/>
      <c r="AQ698" s="20"/>
      <c r="AR698" s="42"/>
      <c r="AS698" s="42"/>
      <c r="AT698" s="20"/>
      <c r="AU698" s="20"/>
      <c r="AV698" s="20"/>
      <c r="AW698" s="42"/>
      <c r="AX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42"/>
      <c r="AN699" s="20"/>
      <c r="AO699" s="20"/>
      <c r="AP699" s="42"/>
      <c r="AQ699" s="20"/>
      <c r="AR699" s="42"/>
      <c r="AS699" s="42"/>
      <c r="AT699" s="20"/>
      <c r="AU699" s="20"/>
      <c r="AV699" s="20"/>
      <c r="AW699" s="42"/>
      <c r="AX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42"/>
      <c r="AN700" s="20"/>
      <c r="AO700" s="20"/>
      <c r="AP700" s="42"/>
      <c r="AQ700" s="20"/>
      <c r="AR700" s="42"/>
      <c r="AS700" s="42"/>
      <c r="AT700" s="20"/>
      <c r="AU700" s="20"/>
      <c r="AV700" s="20"/>
      <c r="AW700" s="42"/>
      <c r="AX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42"/>
      <c r="AN701" s="20"/>
      <c r="AO701" s="20"/>
      <c r="AP701" s="42"/>
      <c r="AQ701" s="20"/>
      <c r="AR701" s="42"/>
      <c r="AS701" s="42"/>
      <c r="AT701" s="20"/>
      <c r="AU701" s="20"/>
      <c r="AV701" s="20"/>
      <c r="AW701" s="42"/>
      <c r="AX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42"/>
      <c r="AN702" s="20"/>
      <c r="AO702" s="20"/>
      <c r="AP702" s="42"/>
      <c r="AQ702" s="20"/>
      <c r="AR702" s="42"/>
      <c r="AS702" s="42"/>
      <c r="AT702" s="20"/>
      <c r="AU702" s="20"/>
      <c r="AV702" s="20"/>
      <c r="AW702" s="42"/>
      <c r="AX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42"/>
      <c r="AN703" s="20"/>
      <c r="AO703" s="20"/>
      <c r="AP703" s="42"/>
      <c r="AQ703" s="20"/>
      <c r="AR703" s="42"/>
      <c r="AS703" s="42"/>
      <c r="AT703" s="20"/>
      <c r="AU703" s="20"/>
      <c r="AV703" s="20"/>
      <c r="AW703" s="42"/>
      <c r="AX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42"/>
      <c r="AN704" s="20"/>
      <c r="AO704" s="20"/>
      <c r="AP704" s="42"/>
      <c r="AQ704" s="20"/>
      <c r="AR704" s="42"/>
      <c r="AS704" s="42"/>
      <c r="AT704" s="20"/>
      <c r="AU704" s="20"/>
      <c r="AV704" s="20"/>
      <c r="AW704" s="42"/>
      <c r="AX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42"/>
      <c r="AN705" s="20"/>
      <c r="AO705" s="20"/>
      <c r="AP705" s="42"/>
      <c r="AQ705" s="20"/>
      <c r="AR705" s="42"/>
      <c r="AS705" s="42"/>
      <c r="AT705" s="20"/>
      <c r="AU705" s="20"/>
      <c r="AV705" s="20"/>
      <c r="AW705" s="42"/>
      <c r="AX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42"/>
      <c r="AN706" s="20"/>
      <c r="AO706" s="20"/>
      <c r="AP706" s="42"/>
      <c r="AQ706" s="20"/>
      <c r="AR706" s="42"/>
      <c r="AS706" s="42"/>
      <c r="AT706" s="20"/>
      <c r="AU706" s="20"/>
      <c r="AV706" s="20"/>
      <c r="AW706" s="42"/>
      <c r="AX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42"/>
      <c r="AN707" s="20"/>
      <c r="AO707" s="20"/>
      <c r="AP707" s="42"/>
      <c r="AQ707" s="20"/>
      <c r="AR707" s="42"/>
      <c r="AS707" s="42"/>
      <c r="AT707" s="20"/>
      <c r="AU707" s="20"/>
      <c r="AV707" s="20"/>
      <c r="AW707" s="42"/>
      <c r="AX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42"/>
      <c r="AN708" s="20"/>
      <c r="AO708" s="20"/>
      <c r="AP708" s="42"/>
      <c r="AQ708" s="20"/>
      <c r="AR708" s="42"/>
      <c r="AS708" s="42"/>
      <c r="AT708" s="20"/>
      <c r="AU708" s="20"/>
      <c r="AV708" s="20"/>
      <c r="AW708" s="42"/>
      <c r="AX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42"/>
      <c r="AN709" s="20"/>
      <c r="AO709" s="20"/>
      <c r="AP709" s="42"/>
      <c r="AQ709" s="20"/>
      <c r="AR709" s="42"/>
      <c r="AS709" s="42"/>
      <c r="AT709" s="20"/>
      <c r="AU709" s="20"/>
      <c r="AV709" s="20"/>
      <c r="AW709" s="42"/>
      <c r="AX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42"/>
      <c r="AN710" s="20"/>
      <c r="AO710" s="20"/>
      <c r="AP710" s="42"/>
      <c r="AQ710" s="20"/>
      <c r="AR710" s="42"/>
      <c r="AS710" s="42"/>
      <c r="AT710" s="20"/>
      <c r="AU710" s="20"/>
      <c r="AV710" s="20"/>
      <c r="AW710" s="42"/>
      <c r="AX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42"/>
      <c r="AN711" s="20"/>
      <c r="AO711" s="20"/>
      <c r="AP711" s="42"/>
      <c r="AQ711" s="20"/>
      <c r="AR711" s="42"/>
      <c r="AS711" s="42"/>
      <c r="AT711" s="20"/>
      <c r="AU711" s="20"/>
      <c r="AV711" s="20"/>
      <c r="AW711" s="42"/>
      <c r="AX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42"/>
      <c r="AN712" s="20"/>
      <c r="AO712" s="20"/>
      <c r="AP712" s="42"/>
      <c r="AQ712" s="20"/>
      <c r="AR712" s="42"/>
      <c r="AS712" s="42"/>
      <c r="AT712" s="20"/>
      <c r="AU712" s="20"/>
      <c r="AV712" s="20"/>
      <c r="AW712" s="42"/>
      <c r="AX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42"/>
      <c r="AN713" s="20"/>
      <c r="AO713" s="20"/>
      <c r="AP713" s="42"/>
      <c r="AQ713" s="20"/>
      <c r="AR713" s="42"/>
      <c r="AS713" s="42"/>
      <c r="AT713" s="20"/>
      <c r="AU713" s="20"/>
      <c r="AV713" s="20"/>
      <c r="AW713" s="42"/>
      <c r="AX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42"/>
      <c r="AN714" s="20"/>
      <c r="AO714" s="20"/>
      <c r="AP714" s="42"/>
      <c r="AQ714" s="20"/>
      <c r="AR714" s="42"/>
      <c r="AS714" s="42"/>
      <c r="AT714" s="20"/>
      <c r="AU714" s="20"/>
      <c r="AV714" s="20"/>
      <c r="AW714" s="42"/>
      <c r="AX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42"/>
      <c r="AN715" s="20"/>
      <c r="AO715" s="20"/>
      <c r="AP715" s="42"/>
      <c r="AQ715" s="20"/>
      <c r="AR715" s="42"/>
      <c r="AS715" s="42"/>
      <c r="AT715" s="20"/>
      <c r="AU715" s="20"/>
      <c r="AV715" s="20"/>
      <c r="AW715" s="42"/>
      <c r="AX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42"/>
      <c r="AN716" s="20"/>
      <c r="AO716" s="20"/>
      <c r="AP716" s="42"/>
      <c r="AQ716" s="20"/>
      <c r="AR716" s="42"/>
      <c r="AS716" s="42"/>
      <c r="AT716" s="20"/>
      <c r="AU716" s="20"/>
      <c r="AV716" s="20"/>
      <c r="AW716" s="42"/>
      <c r="AX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42"/>
      <c r="AN717" s="20"/>
      <c r="AO717" s="20"/>
      <c r="AP717" s="42"/>
      <c r="AQ717" s="20"/>
      <c r="AR717" s="42"/>
      <c r="AS717" s="42"/>
      <c r="AT717" s="20"/>
      <c r="AU717" s="20"/>
      <c r="AV717" s="20"/>
      <c r="AW717" s="42"/>
      <c r="AX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42"/>
      <c r="AN718" s="20"/>
      <c r="AO718" s="20"/>
      <c r="AP718" s="42"/>
      <c r="AQ718" s="20"/>
      <c r="AR718" s="42"/>
      <c r="AS718" s="42"/>
      <c r="AT718" s="20"/>
      <c r="AU718" s="20"/>
      <c r="AV718" s="20"/>
      <c r="AW718" s="42"/>
      <c r="AX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42"/>
      <c r="AN719" s="20"/>
      <c r="AO719" s="20"/>
      <c r="AP719" s="42"/>
      <c r="AQ719" s="20"/>
      <c r="AR719" s="42"/>
      <c r="AS719" s="42"/>
      <c r="AT719" s="20"/>
      <c r="AU719" s="20"/>
      <c r="AV719" s="20"/>
      <c r="AW719" s="42"/>
      <c r="AX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42"/>
      <c r="AN720" s="20"/>
      <c r="AO720" s="20"/>
      <c r="AP720" s="42"/>
      <c r="AQ720" s="20"/>
      <c r="AR720" s="42"/>
      <c r="AS720" s="42"/>
      <c r="AT720" s="20"/>
      <c r="AU720" s="20"/>
      <c r="AV720" s="20"/>
      <c r="AW720" s="42"/>
      <c r="AX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42"/>
      <c r="AN721" s="20"/>
      <c r="AO721" s="20"/>
      <c r="AP721" s="42"/>
      <c r="AQ721" s="20"/>
      <c r="AR721" s="42"/>
      <c r="AS721" s="42"/>
      <c r="AT721" s="20"/>
      <c r="AU721" s="20"/>
      <c r="AV721" s="20"/>
      <c r="AW721" s="42"/>
      <c r="AX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42"/>
      <c r="AN722" s="20"/>
      <c r="AO722" s="20"/>
      <c r="AP722" s="42"/>
      <c r="AQ722" s="20"/>
      <c r="AR722" s="42"/>
      <c r="AS722" s="42"/>
      <c r="AT722" s="20"/>
      <c r="AU722" s="20"/>
      <c r="AV722" s="20"/>
      <c r="AW722" s="42"/>
      <c r="AX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42"/>
      <c r="AN723" s="20"/>
      <c r="AO723" s="20"/>
      <c r="AP723" s="42"/>
      <c r="AQ723" s="20"/>
      <c r="AR723" s="42"/>
      <c r="AS723" s="42"/>
      <c r="AT723" s="20"/>
      <c r="AU723" s="20"/>
      <c r="AV723" s="20"/>
      <c r="AW723" s="42"/>
      <c r="AX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42"/>
      <c r="AN724" s="20"/>
      <c r="AO724" s="20"/>
      <c r="AP724" s="42"/>
      <c r="AQ724" s="20"/>
      <c r="AR724" s="42"/>
      <c r="AS724" s="42"/>
      <c r="AT724" s="20"/>
      <c r="AU724" s="20"/>
      <c r="AV724" s="20"/>
      <c r="AW724" s="42"/>
      <c r="AX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42"/>
      <c r="AN725" s="20"/>
      <c r="AO725" s="20"/>
      <c r="AP725" s="42"/>
      <c r="AQ725" s="20"/>
      <c r="AR725" s="42"/>
      <c r="AS725" s="42"/>
      <c r="AT725" s="20"/>
      <c r="AU725" s="20"/>
      <c r="AV725" s="20"/>
      <c r="AW725" s="42"/>
      <c r="AX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42"/>
      <c r="AN726" s="20"/>
      <c r="AO726" s="20"/>
      <c r="AP726" s="42"/>
      <c r="AQ726" s="20"/>
      <c r="AR726" s="42"/>
      <c r="AS726" s="42"/>
      <c r="AT726" s="20"/>
      <c r="AU726" s="20"/>
      <c r="AV726" s="20"/>
      <c r="AW726" s="42"/>
      <c r="AX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42"/>
      <c r="AN727" s="20"/>
      <c r="AO727" s="20"/>
      <c r="AP727" s="42"/>
      <c r="AQ727" s="20"/>
      <c r="AR727" s="42"/>
      <c r="AS727" s="42"/>
      <c r="AT727" s="20"/>
      <c r="AU727" s="20"/>
      <c r="AV727" s="20"/>
      <c r="AW727" s="42"/>
      <c r="AX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42"/>
      <c r="AN728" s="20"/>
      <c r="AO728" s="20"/>
      <c r="AP728" s="42"/>
      <c r="AQ728" s="20"/>
      <c r="AR728" s="42"/>
      <c r="AS728" s="42"/>
      <c r="AT728" s="20"/>
      <c r="AU728" s="20"/>
      <c r="AV728" s="20"/>
      <c r="AW728" s="42"/>
      <c r="AX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42"/>
      <c r="AN729" s="20"/>
      <c r="AO729" s="20"/>
      <c r="AP729" s="42"/>
      <c r="AQ729" s="20"/>
      <c r="AR729" s="42"/>
      <c r="AS729" s="42"/>
      <c r="AT729" s="20"/>
      <c r="AU729" s="20"/>
      <c r="AV729" s="20"/>
      <c r="AW729" s="42"/>
      <c r="AX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42"/>
      <c r="AN730" s="20"/>
      <c r="AO730" s="20"/>
      <c r="AP730" s="42"/>
      <c r="AQ730" s="20"/>
      <c r="AR730" s="42"/>
      <c r="AS730" s="42"/>
      <c r="AT730" s="20"/>
      <c r="AU730" s="20"/>
      <c r="AV730" s="20"/>
      <c r="AW730" s="42"/>
      <c r="AX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42"/>
      <c r="AN731" s="20"/>
      <c r="AO731" s="20"/>
      <c r="AP731" s="42"/>
      <c r="AQ731" s="20"/>
      <c r="AR731" s="42"/>
      <c r="AS731" s="42"/>
      <c r="AT731" s="20"/>
      <c r="AU731" s="20"/>
      <c r="AV731" s="20"/>
      <c r="AW731" s="42"/>
      <c r="AX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42"/>
      <c r="AN732" s="20"/>
      <c r="AO732" s="20"/>
      <c r="AP732" s="42"/>
      <c r="AQ732" s="20"/>
      <c r="AR732" s="42"/>
      <c r="AS732" s="42"/>
      <c r="AT732" s="20"/>
      <c r="AU732" s="20"/>
      <c r="AV732" s="20"/>
      <c r="AW732" s="42"/>
      <c r="AX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42"/>
      <c r="AN733" s="20"/>
      <c r="AO733" s="20"/>
      <c r="AP733" s="42"/>
      <c r="AQ733" s="20"/>
      <c r="AR733" s="42"/>
      <c r="AS733" s="42"/>
      <c r="AT733" s="20"/>
      <c r="AU733" s="20"/>
      <c r="AV733" s="20"/>
      <c r="AW733" s="42"/>
      <c r="AX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42"/>
      <c r="AN734" s="20"/>
      <c r="AO734" s="20"/>
      <c r="AP734" s="42"/>
      <c r="AQ734" s="20"/>
      <c r="AR734" s="42"/>
      <c r="AS734" s="42"/>
      <c r="AT734" s="20"/>
      <c r="AU734" s="20"/>
      <c r="AV734" s="20"/>
      <c r="AW734" s="42"/>
      <c r="AX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42"/>
      <c r="AN735" s="20"/>
      <c r="AO735" s="20"/>
      <c r="AP735" s="42"/>
      <c r="AQ735" s="20"/>
      <c r="AR735" s="42"/>
      <c r="AS735" s="42"/>
      <c r="AT735" s="20"/>
      <c r="AU735" s="20"/>
      <c r="AV735" s="20"/>
      <c r="AW735" s="42"/>
      <c r="AX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42"/>
      <c r="AN736" s="20"/>
      <c r="AO736" s="20"/>
      <c r="AP736" s="42"/>
      <c r="AQ736" s="20"/>
      <c r="AR736" s="42"/>
      <c r="AS736" s="42"/>
      <c r="AT736" s="20"/>
      <c r="AU736" s="20"/>
      <c r="AV736" s="20"/>
      <c r="AW736" s="42"/>
      <c r="AX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42"/>
      <c r="AN737" s="20"/>
      <c r="AO737" s="20"/>
      <c r="AP737" s="42"/>
      <c r="AQ737" s="20"/>
      <c r="AR737" s="42"/>
      <c r="AS737" s="42"/>
      <c r="AT737" s="20"/>
      <c r="AU737" s="20"/>
      <c r="AV737" s="20"/>
      <c r="AW737" s="42"/>
      <c r="AX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42"/>
      <c r="AN738" s="20"/>
      <c r="AO738" s="20"/>
      <c r="AP738" s="42"/>
      <c r="AQ738" s="20"/>
      <c r="AR738" s="42"/>
      <c r="AS738" s="42"/>
      <c r="AT738" s="20"/>
      <c r="AU738" s="20"/>
      <c r="AV738" s="20"/>
      <c r="AW738" s="42"/>
      <c r="AX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42"/>
      <c r="AN739" s="20"/>
      <c r="AO739" s="20"/>
      <c r="AP739" s="42"/>
      <c r="AQ739" s="20"/>
      <c r="AR739" s="42"/>
      <c r="AS739" s="42"/>
      <c r="AT739" s="20"/>
      <c r="AU739" s="20"/>
      <c r="AV739" s="20"/>
      <c r="AW739" s="42"/>
      <c r="AX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42"/>
      <c r="AN740" s="20"/>
      <c r="AO740" s="20"/>
      <c r="AP740" s="42"/>
      <c r="AQ740" s="20"/>
      <c r="AR740" s="42"/>
      <c r="AS740" s="42"/>
      <c r="AT740" s="20"/>
      <c r="AU740" s="20"/>
      <c r="AV740" s="20"/>
      <c r="AW740" s="42"/>
      <c r="AX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42"/>
      <c r="AN741" s="20"/>
      <c r="AO741" s="20"/>
      <c r="AP741" s="42"/>
      <c r="AQ741" s="20"/>
      <c r="AR741" s="42"/>
      <c r="AS741" s="42"/>
      <c r="AT741" s="20"/>
      <c r="AU741" s="20"/>
      <c r="AV741" s="20"/>
      <c r="AW741" s="42"/>
      <c r="AX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42"/>
      <c r="AN742" s="20"/>
      <c r="AO742" s="20"/>
      <c r="AP742" s="42"/>
      <c r="AQ742" s="20"/>
      <c r="AR742" s="42"/>
      <c r="AS742" s="42"/>
      <c r="AT742" s="20"/>
      <c r="AU742" s="20"/>
      <c r="AV742" s="20"/>
      <c r="AW742" s="42"/>
      <c r="AX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42"/>
      <c r="AN743" s="20"/>
      <c r="AO743" s="20"/>
      <c r="AP743" s="42"/>
      <c r="AQ743" s="20"/>
      <c r="AR743" s="42"/>
      <c r="AS743" s="42"/>
      <c r="AT743" s="20"/>
      <c r="AU743" s="20"/>
      <c r="AV743" s="20"/>
      <c r="AW743" s="42"/>
      <c r="AX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42"/>
      <c r="AN744" s="20"/>
      <c r="AO744" s="20"/>
      <c r="AP744" s="42"/>
      <c r="AQ744" s="20"/>
      <c r="AR744" s="42"/>
      <c r="AS744" s="42"/>
      <c r="AT744" s="20"/>
      <c r="AU744" s="20"/>
      <c r="AV744" s="20"/>
      <c r="AW744" s="42"/>
      <c r="AX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42"/>
      <c r="AN745" s="20"/>
      <c r="AO745" s="20"/>
      <c r="AP745" s="42"/>
      <c r="AQ745" s="20"/>
      <c r="AR745" s="42"/>
      <c r="AS745" s="42"/>
      <c r="AT745" s="20"/>
      <c r="AU745" s="20"/>
      <c r="AV745" s="20"/>
      <c r="AW745" s="42"/>
      <c r="AX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42"/>
      <c r="AN746" s="20"/>
      <c r="AO746" s="20"/>
      <c r="AP746" s="42"/>
      <c r="AQ746" s="20"/>
      <c r="AR746" s="42"/>
      <c r="AS746" s="42"/>
      <c r="AT746" s="20"/>
      <c r="AU746" s="20"/>
      <c r="AV746" s="20"/>
      <c r="AW746" s="42"/>
      <c r="AX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42"/>
      <c r="AN747" s="20"/>
      <c r="AO747" s="20"/>
      <c r="AP747" s="42"/>
      <c r="AQ747" s="20"/>
      <c r="AR747" s="42"/>
      <c r="AS747" s="42"/>
      <c r="AT747" s="20"/>
      <c r="AU747" s="20"/>
      <c r="AV747" s="20"/>
      <c r="AW747" s="42"/>
      <c r="AX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42"/>
      <c r="AN748" s="20"/>
      <c r="AO748" s="20"/>
      <c r="AP748" s="42"/>
      <c r="AQ748" s="20"/>
      <c r="AR748" s="42"/>
      <c r="AS748" s="42"/>
      <c r="AT748" s="20"/>
      <c r="AU748" s="20"/>
      <c r="AV748" s="20"/>
      <c r="AW748" s="42"/>
      <c r="AX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42"/>
      <c r="AN749" s="20"/>
      <c r="AO749" s="20"/>
      <c r="AP749" s="42"/>
      <c r="AQ749" s="20"/>
      <c r="AR749" s="42"/>
      <c r="AS749" s="42"/>
      <c r="AT749" s="20"/>
      <c r="AU749" s="20"/>
      <c r="AV749" s="20"/>
      <c r="AW749" s="42"/>
      <c r="AX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42"/>
      <c r="AN750" s="20"/>
      <c r="AO750" s="20"/>
      <c r="AP750" s="42"/>
      <c r="AQ750" s="20"/>
      <c r="AR750" s="42"/>
      <c r="AS750" s="42"/>
      <c r="AT750" s="20"/>
      <c r="AU750" s="20"/>
      <c r="AV750" s="20"/>
      <c r="AW750" s="42"/>
      <c r="AX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42"/>
      <c r="AN751" s="20"/>
      <c r="AO751" s="20"/>
      <c r="AP751" s="42"/>
      <c r="AQ751" s="20"/>
      <c r="AR751" s="42"/>
      <c r="AS751" s="42"/>
      <c r="AT751" s="20"/>
      <c r="AU751" s="20"/>
      <c r="AV751" s="20"/>
      <c r="AW751" s="42"/>
      <c r="AX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42"/>
      <c r="AN752" s="20"/>
      <c r="AO752" s="20"/>
      <c r="AP752" s="42"/>
      <c r="AQ752" s="20"/>
      <c r="AR752" s="42"/>
      <c r="AS752" s="42"/>
      <c r="AT752" s="20"/>
      <c r="AU752" s="20"/>
      <c r="AV752" s="20"/>
      <c r="AW752" s="42"/>
      <c r="AX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42"/>
      <c r="AN753" s="20"/>
      <c r="AO753" s="20"/>
      <c r="AP753" s="42"/>
      <c r="AQ753" s="20"/>
      <c r="AR753" s="42"/>
      <c r="AS753" s="42"/>
      <c r="AT753" s="20"/>
      <c r="AU753" s="20"/>
      <c r="AV753" s="20"/>
      <c r="AW753" s="42"/>
      <c r="AX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42"/>
      <c r="AN754" s="20"/>
      <c r="AO754" s="20"/>
      <c r="AP754" s="42"/>
      <c r="AQ754" s="20"/>
      <c r="AR754" s="42"/>
      <c r="AS754" s="42"/>
      <c r="AT754" s="20"/>
      <c r="AU754" s="20"/>
      <c r="AV754" s="20"/>
      <c r="AW754" s="42"/>
      <c r="AX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42"/>
      <c r="AN755" s="20"/>
      <c r="AO755" s="20"/>
      <c r="AP755" s="42"/>
      <c r="AQ755" s="20"/>
      <c r="AR755" s="42"/>
      <c r="AS755" s="42"/>
      <c r="AT755" s="20"/>
      <c r="AU755" s="20"/>
      <c r="AV755" s="20"/>
      <c r="AW755" s="42"/>
      <c r="AX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42"/>
      <c r="AN756" s="20"/>
      <c r="AO756" s="20"/>
      <c r="AP756" s="42"/>
      <c r="AQ756" s="20"/>
      <c r="AR756" s="42"/>
      <c r="AS756" s="42"/>
      <c r="AT756" s="20"/>
      <c r="AU756" s="20"/>
      <c r="AV756" s="20"/>
      <c r="AW756" s="42"/>
      <c r="AX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42"/>
      <c r="AN757" s="20"/>
      <c r="AO757" s="20"/>
      <c r="AP757" s="42"/>
      <c r="AQ757" s="20"/>
      <c r="AR757" s="42"/>
      <c r="AS757" s="42"/>
      <c r="AT757" s="20"/>
      <c r="AU757" s="20"/>
      <c r="AV757" s="20"/>
      <c r="AW757" s="42"/>
      <c r="AX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42"/>
      <c r="AN758" s="20"/>
      <c r="AO758" s="20"/>
      <c r="AP758" s="42"/>
      <c r="AQ758" s="20"/>
      <c r="AR758" s="42"/>
      <c r="AS758" s="42"/>
      <c r="AT758" s="20"/>
      <c r="AU758" s="20"/>
      <c r="AV758" s="20"/>
      <c r="AW758" s="42"/>
      <c r="AX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42"/>
      <c r="AN759" s="20"/>
      <c r="AO759" s="20"/>
      <c r="AP759" s="42"/>
      <c r="AQ759" s="20"/>
      <c r="AR759" s="42"/>
      <c r="AS759" s="42"/>
      <c r="AT759" s="20"/>
      <c r="AU759" s="20"/>
      <c r="AV759" s="20"/>
      <c r="AW759" s="42"/>
      <c r="AX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42"/>
      <c r="AN760" s="20"/>
      <c r="AO760" s="20"/>
      <c r="AP760" s="42"/>
      <c r="AQ760" s="20"/>
      <c r="AR760" s="42"/>
      <c r="AS760" s="42"/>
      <c r="AT760" s="20"/>
      <c r="AU760" s="20"/>
      <c r="AV760" s="20"/>
      <c r="AW760" s="42"/>
      <c r="AX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42"/>
      <c r="AN761" s="20"/>
      <c r="AO761" s="20"/>
      <c r="AP761" s="42"/>
      <c r="AQ761" s="20"/>
      <c r="AR761" s="42"/>
      <c r="AS761" s="42"/>
      <c r="AT761" s="20"/>
      <c r="AU761" s="20"/>
      <c r="AV761" s="20"/>
      <c r="AW761" s="42"/>
      <c r="AX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42"/>
      <c r="AN762" s="20"/>
      <c r="AO762" s="20"/>
      <c r="AP762" s="42"/>
      <c r="AQ762" s="20"/>
      <c r="AR762" s="42"/>
      <c r="AS762" s="42"/>
      <c r="AT762" s="20"/>
      <c r="AU762" s="20"/>
      <c r="AV762" s="20"/>
      <c r="AW762" s="42"/>
      <c r="AX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42"/>
      <c r="AN763" s="20"/>
      <c r="AO763" s="20"/>
      <c r="AP763" s="42"/>
      <c r="AQ763" s="20"/>
      <c r="AR763" s="42"/>
      <c r="AS763" s="42"/>
      <c r="AT763" s="20"/>
      <c r="AU763" s="20"/>
      <c r="AV763" s="20"/>
      <c r="AW763" s="42"/>
      <c r="AX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42"/>
      <c r="AN764" s="20"/>
      <c r="AO764" s="20"/>
      <c r="AP764" s="42"/>
      <c r="AQ764" s="20"/>
      <c r="AR764" s="42"/>
      <c r="AS764" s="42"/>
      <c r="AT764" s="20"/>
      <c r="AU764" s="20"/>
      <c r="AV764" s="20"/>
      <c r="AW764" s="42"/>
      <c r="AX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42"/>
      <c r="AN765" s="20"/>
      <c r="AO765" s="20"/>
      <c r="AP765" s="42"/>
      <c r="AQ765" s="20"/>
      <c r="AR765" s="42"/>
      <c r="AS765" s="42"/>
      <c r="AT765" s="20"/>
      <c r="AU765" s="20"/>
      <c r="AV765" s="20"/>
      <c r="AW765" s="42"/>
      <c r="AX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42"/>
      <c r="AN766" s="20"/>
      <c r="AO766" s="20"/>
      <c r="AP766" s="42"/>
      <c r="AQ766" s="20"/>
      <c r="AR766" s="42"/>
      <c r="AS766" s="42"/>
      <c r="AT766" s="20"/>
      <c r="AU766" s="20"/>
      <c r="AV766" s="20"/>
      <c r="AW766" s="42"/>
      <c r="AX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42"/>
      <c r="AN767" s="20"/>
      <c r="AO767" s="20"/>
      <c r="AP767" s="42"/>
      <c r="AQ767" s="20"/>
      <c r="AR767" s="42"/>
      <c r="AS767" s="42"/>
      <c r="AT767" s="20"/>
      <c r="AU767" s="20"/>
      <c r="AV767" s="20"/>
      <c r="AW767" s="42"/>
      <c r="AX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42"/>
      <c r="AN768" s="20"/>
      <c r="AO768" s="20"/>
      <c r="AP768" s="42"/>
      <c r="AQ768" s="20"/>
      <c r="AR768" s="42"/>
      <c r="AS768" s="42"/>
      <c r="AT768" s="20"/>
      <c r="AU768" s="20"/>
      <c r="AV768" s="20"/>
      <c r="AW768" s="42"/>
      <c r="AX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42"/>
      <c r="AN769" s="20"/>
      <c r="AO769" s="20"/>
      <c r="AP769" s="42"/>
      <c r="AQ769" s="20"/>
      <c r="AR769" s="42"/>
      <c r="AS769" s="42"/>
      <c r="AT769" s="20"/>
      <c r="AU769" s="20"/>
      <c r="AV769" s="20"/>
      <c r="AW769" s="42"/>
      <c r="AX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42"/>
      <c r="AN770" s="20"/>
      <c r="AO770" s="20"/>
      <c r="AP770" s="42"/>
      <c r="AQ770" s="20"/>
      <c r="AR770" s="42"/>
      <c r="AS770" s="42"/>
      <c r="AT770" s="20"/>
      <c r="AU770" s="20"/>
      <c r="AV770" s="20"/>
      <c r="AW770" s="42"/>
      <c r="AX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42"/>
      <c r="AN771" s="20"/>
      <c r="AO771" s="20"/>
      <c r="AP771" s="42"/>
      <c r="AQ771" s="20"/>
      <c r="AR771" s="42"/>
      <c r="AS771" s="42"/>
      <c r="AT771" s="20"/>
      <c r="AU771" s="20"/>
      <c r="AV771" s="20"/>
      <c r="AW771" s="42"/>
      <c r="AX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42"/>
      <c r="AN772" s="20"/>
      <c r="AO772" s="20"/>
      <c r="AP772" s="42"/>
      <c r="AQ772" s="20"/>
      <c r="AR772" s="42"/>
      <c r="AS772" s="42"/>
      <c r="AT772" s="20"/>
      <c r="AU772" s="20"/>
      <c r="AV772" s="20"/>
      <c r="AW772" s="42"/>
      <c r="AX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42"/>
      <c r="AN773" s="20"/>
      <c r="AO773" s="20"/>
      <c r="AP773" s="42"/>
      <c r="AQ773" s="20"/>
      <c r="AR773" s="42"/>
      <c r="AS773" s="42"/>
      <c r="AT773" s="20"/>
      <c r="AU773" s="20"/>
      <c r="AV773" s="20"/>
      <c r="AW773" s="42"/>
      <c r="AX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42"/>
      <c r="AN774" s="20"/>
      <c r="AO774" s="20"/>
      <c r="AP774" s="42"/>
      <c r="AQ774" s="20"/>
      <c r="AR774" s="42"/>
      <c r="AS774" s="42"/>
      <c r="AT774" s="20"/>
      <c r="AU774" s="20"/>
      <c r="AV774" s="20"/>
      <c r="AW774" s="42"/>
      <c r="AX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42"/>
      <c r="AN775" s="20"/>
      <c r="AO775" s="20"/>
      <c r="AP775" s="42"/>
      <c r="AQ775" s="20"/>
      <c r="AR775" s="42"/>
      <c r="AS775" s="42"/>
      <c r="AT775" s="20"/>
      <c r="AU775" s="20"/>
      <c r="AV775" s="20"/>
      <c r="AW775" s="42"/>
      <c r="AX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42"/>
      <c r="AN776" s="20"/>
      <c r="AO776" s="20"/>
      <c r="AP776" s="42"/>
      <c r="AQ776" s="20"/>
      <c r="AR776" s="42"/>
      <c r="AS776" s="42"/>
      <c r="AT776" s="20"/>
      <c r="AU776" s="20"/>
      <c r="AV776" s="20"/>
      <c r="AW776" s="42"/>
      <c r="AX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42"/>
      <c r="AN777" s="20"/>
      <c r="AO777" s="20"/>
      <c r="AP777" s="42"/>
      <c r="AQ777" s="20"/>
      <c r="AR777" s="42"/>
      <c r="AS777" s="42"/>
      <c r="AT777" s="20"/>
      <c r="AU777" s="20"/>
      <c r="AV777" s="20"/>
      <c r="AW777" s="42"/>
      <c r="AX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42"/>
      <c r="AN778" s="20"/>
      <c r="AO778" s="20"/>
      <c r="AP778" s="42"/>
      <c r="AQ778" s="20"/>
      <c r="AR778" s="42"/>
      <c r="AS778" s="42"/>
      <c r="AT778" s="20"/>
      <c r="AU778" s="20"/>
      <c r="AV778" s="20"/>
      <c r="AW778" s="42"/>
      <c r="AX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42"/>
      <c r="AN779" s="20"/>
      <c r="AO779" s="20"/>
      <c r="AP779" s="42"/>
      <c r="AQ779" s="20"/>
      <c r="AR779" s="42"/>
      <c r="AS779" s="42"/>
      <c r="AT779" s="20"/>
      <c r="AU779" s="20"/>
      <c r="AV779" s="20"/>
      <c r="AW779" s="42"/>
      <c r="AX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42"/>
      <c r="AN780" s="20"/>
      <c r="AO780" s="20"/>
      <c r="AP780" s="42"/>
      <c r="AQ780" s="20"/>
      <c r="AR780" s="42"/>
      <c r="AS780" s="42"/>
      <c r="AT780" s="20"/>
      <c r="AU780" s="20"/>
      <c r="AV780" s="20"/>
      <c r="AW780" s="42"/>
      <c r="AX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42"/>
      <c r="AN781" s="20"/>
      <c r="AO781" s="20"/>
      <c r="AP781" s="42"/>
      <c r="AQ781" s="20"/>
      <c r="AR781" s="42"/>
      <c r="AS781" s="42"/>
      <c r="AT781" s="20"/>
      <c r="AU781" s="20"/>
      <c r="AV781" s="20"/>
      <c r="AW781" s="42"/>
      <c r="AX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42"/>
      <c r="AN782" s="20"/>
      <c r="AO782" s="20"/>
      <c r="AP782" s="42"/>
      <c r="AQ782" s="20"/>
      <c r="AR782" s="42"/>
      <c r="AS782" s="42"/>
      <c r="AT782" s="20"/>
      <c r="AU782" s="20"/>
      <c r="AV782" s="20"/>
      <c r="AW782" s="42"/>
      <c r="AX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42"/>
      <c r="AN783" s="20"/>
      <c r="AO783" s="20"/>
      <c r="AP783" s="42"/>
      <c r="AQ783" s="20"/>
      <c r="AR783" s="42"/>
      <c r="AS783" s="42"/>
      <c r="AT783" s="20"/>
      <c r="AU783" s="20"/>
      <c r="AV783" s="20"/>
      <c r="AW783" s="42"/>
      <c r="AX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42"/>
      <c r="AN784" s="20"/>
      <c r="AO784" s="20"/>
      <c r="AP784" s="42"/>
      <c r="AQ784" s="20"/>
      <c r="AR784" s="42"/>
      <c r="AS784" s="42"/>
      <c r="AT784" s="20"/>
      <c r="AU784" s="20"/>
      <c r="AV784" s="20"/>
      <c r="AW784" s="42"/>
      <c r="AX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42"/>
      <c r="AN785" s="20"/>
      <c r="AO785" s="20"/>
      <c r="AP785" s="42"/>
      <c r="AQ785" s="20"/>
      <c r="AR785" s="42"/>
      <c r="AS785" s="42"/>
      <c r="AT785" s="20"/>
      <c r="AU785" s="20"/>
      <c r="AV785" s="20"/>
      <c r="AW785" s="42"/>
      <c r="AX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42"/>
      <c r="AN786" s="20"/>
      <c r="AO786" s="20"/>
      <c r="AP786" s="42"/>
      <c r="AQ786" s="20"/>
      <c r="AR786" s="42"/>
      <c r="AS786" s="42"/>
      <c r="AT786" s="20"/>
      <c r="AU786" s="20"/>
      <c r="AV786" s="20"/>
      <c r="AW786" s="42"/>
      <c r="AX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42"/>
      <c r="AN787" s="20"/>
      <c r="AO787" s="20"/>
      <c r="AP787" s="42"/>
      <c r="AQ787" s="20"/>
      <c r="AR787" s="42"/>
      <c r="AS787" s="42"/>
      <c r="AT787" s="20"/>
      <c r="AU787" s="20"/>
      <c r="AV787" s="20"/>
      <c r="AW787" s="42"/>
      <c r="AX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42"/>
      <c r="AN788" s="20"/>
      <c r="AO788" s="20"/>
      <c r="AP788" s="42"/>
      <c r="AQ788" s="20"/>
      <c r="AR788" s="42"/>
      <c r="AS788" s="42"/>
      <c r="AT788" s="20"/>
      <c r="AU788" s="20"/>
      <c r="AV788" s="20"/>
      <c r="AW788" s="42"/>
      <c r="AX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42"/>
      <c r="AN789" s="20"/>
      <c r="AO789" s="20"/>
      <c r="AP789" s="42"/>
      <c r="AQ789" s="20"/>
      <c r="AR789" s="42"/>
      <c r="AS789" s="42"/>
      <c r="AT789" s="20"/>
      <c r="AU789" s="20"/>
      <c r="AV789" s="20"/>
      <c r="AW789" s="42"/>
      <c r="AX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42"/>
      <c r="AN790" s="20"/>
      <c r="AO790" s="20"/>
      <c r="AP790" s="42"/>
      <c r="AQ790" s="20"/>
      <c r="AR790" s="42"/>
      <c r="AS790" s="42"/>
      <c r="AT790" s="20"/>
      <c r="AU790" s="20"/>
      <c r="AV790" s="20"/>
      <c r="AW790" s="42"/>
      <c r="AX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42"/>
      <c r="AN791" s="20"/>
      <c r="AO791" s="20"/>
      <c r="AP791" s="42"/>
      <c r="AQ791" s="20"/>
      <c r="AR791" s="42"/>
      <c r="AS791" s="42"/>
      <c r="AT791" s="20"/>
      <c r="AU791" s="20"/>
      <c r="AV791" s="20"/>
      <c r="AW791" s="42"/>
      <c r="AX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42"/>
      <c r="AN792" s="20"/>
      <c r="AO792" s="20"/>
      <c r="AP792" s="42"/>
      <c r="AQ792" s="20"/>
      <c r="AR792" s="42"/>
      <c r="AS792" s="42"/>
      <c r="AT792" s="20"/>
      <c r="AU792" s="20"/>
      <c r="AV792" s="20"/>
      <c r="AW792" s="42"/>
      <c r="AX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42"/>
      <c r="AN793" s="20"/>
      <c r="AO793" s="20"/>
      <c r="AP793" s="42"/>
      <c r="AQ793" s="20"/>
      <c r="AR793" s="42"/>
      <c r="AS793" s="42"/>
      <c r="AT793" s="20"/>
      <c r="AU793" s="20"/>
      <c r="AV793" s="20"/>
      <c r="AW793" s="42"/>
      <c r="AX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42"/>
      <c r="AN794" s="20"/>
      <c r="AO794" s="20"/>
      <c r="AP794" s="42"/>
      <c r="AQ794" s="20"/>
      <c r="AR794" s="42"/>
      <c r="AS794" s="42"/>
      <c r="AT794" s="20"/>
      <c r="AU794" s="20"/>
      <c r="AV794" s="20"/>
      <c r="AW794" s="42"/>
      <c r="AX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42"/>
      <c r="AN795" s="20"/>
      <c r="AO795" s="20"/>
      <c r="AP795" s="42"/>
      <c r="AQ795" s="20"/>
      <c r="AR795" s="42"/>
      <c r="AS795" s="42"/>
      <c r="AT795" s="20"/>
      <c r="AU795" s="20"/>
      <c r="AV795" s="20"/>
      <c r="AW795" s="42"/>
      <c r="AX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42"/>
      <c r="AN796" s="20"/>
      <c r="AO796" s="20"/>
      <c r="AP796" s="42"/>
      <c r="AQ796" s="20"/>
      <c r="AR796" s="42"/>
      <c r="AS796" s="42"/>
      <c r="AT796" s="20"/>
      <c r="AU796" s="20"/>
      <c r="AV796" s="20"/>
      <c r="AW796" s="42"/>
      <c r="AX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42"/>
      <c r="AN797" s="20"/>
      <c r="AO797" s="20"/>
      <c r="AP797" s="42"/>
      <c r="AQ797" s="20"/>
      <c r="AR797" s="42"/>
      <c r="AS797" s="42"/>
      <c r="AT797" s="20"/>
      <c r="AU797" s="20"/>
      <c r="AV797" s="20"/>
      <c r="AW797" s="42"/>
      <c r="AX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42"/>
      <c r="AN798" s="20"/>
      <c r="AO798" s="20"/>
      <c r="AP798" s="42"/>
      <c r="AQ798" s="20"/>
      <c r="AR798" s="42"/>
      <c r="AS798" s="42"/>
      <c r="AT798" s="20"/>
      <c r="AU798" s="20"/>
      <c r="AV798" s="20"/>
      <c r="AW798" s="42"/>
      <c r="AX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42"/>
      <c r="AN799" s="20"/>
      <c r="AO799" s="20"/>
      <c r="AP799" s="42"/>
      <c r="AQ799" s="20"/>
      <c r="AR799" s="42"/>
      <c r="AS799" s="42"/>
      <c r="AT799" s="20"/>
      <c r="AU799" s="20"/>
      <c r="AV799" s="20"/>
      <c r="AW799" s="42"/>
      <c r="AX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42"/>
      <c r="AN800" s="20"/>
      <c r="AO800" s="20"/>
      <c r="AP800" s="42"/>
      <c r="AQ800" s="20"/>
      <c r="AR800" s="42"/>
      <c r="AS800" s="42"/>
      <c r="AT800" s="20"/>
      <c r="AU800" s="20"/>
      <c r="AV800" s="20"/>
      <c r="AW800" s="42"/>
      <c r="AX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42"/>
      <c r="AN801" s="20"/>
      <c r="AO801" s="20"/>
      <c r="AP801" s="42"/>
      <c r="AQ801" s="20"/>
      <c r="AR801" s="42"/>
      <c r="AS801" s="42"/>
      <c r="AT801" s="20"/>
      <c r="AU801" s="20"/>
      <c r="AV801" s="20"/>
      <c r="AW801" s="42"/>
      <c r="AX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42"/>
      <c r="AN802" s="20"/>
      <c r="AO802" s="20"/>
      <c r="AP802" s="42"/>
      <c r="AQ802" s="20"/>
      <c r="AR802" s="42"/>
      <c r="AS802" s="42"/>
      <c r="AT802" s="20"/>
      <c r="AU802" s="20"/>
      <c r="AV802" s="20"/>
      <c r="AW802" s="42"/>
      <c r="AX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42"/>
      <c r="AN803" s="20"/>
      <c r="AO803" s="20"/>
      <c r="AP803" s="42"/>
      <c r="AQ803" s="20"/>
      <c r="AR803" s="42"/>
      <c r="AS803" s="42"/>
      <c r="AT803" s="20"/>
      <c r="AU803" s="20"/>
      <c r="AV803" s="20"/>
      <c r="AW803" s="42"/>
      <c r="AX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42"/>
      <c r="AN804" s="20"/>
      <c r="AO804" s="20"/>
      <c r="AP804" s="42"/>
      <c r="AQ804" s="20"/>
      <c r="AR804" s="42"/>
      <c r="AS804" s="42"/>
      <c r="AT804" s="20"/>
      <c r="AU804" s="20"/>
      <c r="AV804" s="20"/>
      <c r="AW804" s="42"/>
      <c r="AX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42"/>
      <c r="AN805" s="20"/>
      <c r="AO805" s="20"/>
      <c r="AP805" s="42"/>
      <c r="AQ805" s="20"/>
      <c r="AR805" s="42"/>
      <c r="AS805" s="42"/>
      <c r="AT805" s="20"/>
      <c r="AU805" s="20"/>
      <c r="AV805" s="20"/>
      <c r="AW805" s="42"/>
      <c r="AX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42"/>
      <c r="AN806" s="20"/>
      <c r="AO806" s="20"/>
      <c r="AP806" s="42"/>
      <c r="AQ806" s="20"/>
      <c r="AR806" s="42"/>
      <c r="AS806" s="42"/>
      <c r="AT806" s="20"/>
      <c r="AU806" s="20"/>
      <c r="AV806" s="20"/>
      <c r="AW806" s="42"/>
      <c r="AX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42"/>
      <c r="AN807" s="20"/>
      <c r="AO807" s="20"/>
      <c r="AP807" s="42"/>
      <c r="AQ807" s="20"/>
      <c r="AR807" s="42"/>
      <c r="AS807" s="42"/>
      <c r="AT807" s="20"/>
      <c r="AU807" s="20"/>
      <c r="AV807" s="20"/>
      <c r="AW807" s="42"/>
      <c r="AX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42"/>
      <c r="AN808" s="20"/>
      <c r="AO808" s="20"/>
      <c r="AP808" s="42"/>
      <c r="AQ808" s="20"/>
      <c r="AR808" s="42"/>
      <c r="AS808" s="42"/>
      <c r="AT808" s="20"/>
      <c r="AU808" s="20"/>
      <c r="AV808" s="20"/>
      <c r="AW808" s="42"/>
      <c r="AX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42"/>
      <c r="AN809" s="20"/>
      <c r="AO809" s="20"/>
      <c r="AP809" s="42"/>
      <c r="AQ809" s="20"/>
      <c r="AR809" s="42"/>
      <c r="AS809" s="42"/>
      <c r="AT809" s="20"/>
      <c r="AU809" s="20"/>
      <c r="AV809" s="20"/>
      <c r="AW809" s="42"/>
      <c r="AX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42"/>
      <c r="AN810" s="20"/>
      <c r="AO810" s="20"/>
      <c r="AP810" s="42"/>
      <c r="AQ810" s="20"/>
      <c r="AR810" s="42"/>
      <c r="AS810" s="42"/>
      <c r="AT810" s="20"/>
      <c r="AU810" s="20"/>
      <c r="AV810" s="20"/>
      <c r="AW810" s="42"/>
      <c r="AX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42"/>
      <c r="AN811" s="20"/>
      <c r="AO811" s="20"/>
      <c r="AP811" s="42"/>
      <c r="AQ811" s="20"/>
      <c r="AR811" s="42"/>
      <c r="AS811" s="42"/>
      <c r="AT811" s="20"/>
      <c r="AU811" s="20"/>
      <c r="AV811" s="20"/>
      <c r="AW811" s="42"/>
      <c r="AX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42"/>
      <c r="AN812" s="20"/>
      <c r="AO812" s="20"/>
      <c r="AP812" s="42"/>
      <c r="AQ812" s="20"/>
      <c r="AR812" s="42"/>
      <c r="AS812" s="42"/>
      <c r="AT812" s="20"/>
      <c r="AU812" s="20"/>
      <c r="AV812" s="20"/>
      <c r="AW812" s="42"/>
      <c r="AX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42"/>
      <c r="AN813" s="20"/>
      <c r="AO813" s="20"/>
      <c r="AP813" s="42"/>
      <c r="AQ813" s="20"/>
      <c r="AR813" s="42"/>
      <c r="AS813" s="42"/>
      <c r="AT813" s="20"/>
      <c r="AU813" s="20"/>
      <c r="AV813" s="20"/>
      <c r="AW813" s="42"/>
      <c r="AX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42"/>
      <c r="AN814" s="20"/>
      <c r="AO814" s="20"/>
      <c r="AP814" s="42"/>
      <c r="AQ814" s="20"/>
      <c r="AR814" s="42"/>
      <c r="AS814" s="42"/>
      <c r="AT814" s="20"/>
      <c r="AU814" s="20"/>
      <c r="AV814" s="20"/>
      <c r="AW814" s="42"/>
      <c r="AX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42"/>
      <c r="AN815" s="20"/>
      <c r="AO815" s="20"/>
      <c r="AP815" s="42"/>
      <c r="AQ815" s="20"/>
      <c r="AR815" s="42"/>
      <c r="AS815" s="42"/>
      <c r="AT815" s="20"/>
      <c r="AU815" s="20"/>
      <c r="AV815" s="20"/>
      <c r="AW815" s="42"/>
      <c r="AX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42"/>
      <c r="AN816" s="20"/>
      <c r="AO816" s="20"/>
      <c r="AP816" s="42"/>
      <c r="AQ816" s="20"/>
      <c r="AR816" s="42"/>
      <c r="AS816" s="42"/>
      <c r="AT816" s="20"/>
      <c r="AU816" s="20"/>
      <c r="AV816" s="20"/>
      <c r="AW816" s="42"/>
      <c r="AX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42"/>
      <c r="AN817" s="20"/>
      <c r="AO817" s="20"/>
      <c r="AP817" s="42"/>
      <c r="AQ817" s="20"/>
      <c r="AR817" s="42"/>
      <c r="AS817" s="42"/>
      <c r="AT817" s="20"/>
      <c r="AU817" s="20"/>
      <c r="AV817" s="20"/>
      <c r="AW817" s="42"/>
      <c r="AX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42"/>
      <c r="AN818" s="20"/>
      <c r="AO818" s="20"/>
      <c r="AP818" s="42"/>
      <c r="AQ818" s="20"/>
      <c r="AR818" s="42"/>
      <c r="AS818" s="42"/>
      <c r="AT818" s="20"/>
      <c r="AU818" s="20"/>
      <c r="AV818" s="20"/>
      <c r="AW818" s="42"/>
      <c r="AX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42"/>
      <c r="AN819" s="20"/>
      <c r="AO819" s="20"/>
      <c r="AP819" s="42"/>
      <c r="AQ819" s="20"/>
      <c r="AR819" s="42"/>
      <c r="AS819" s="42"/>
      <c r="AT819" s="20"/>
      <c r="AU819" s="20"/>
      <c r="AV819" s="20"/>
      <c r="AW819" s="42"/>
      <c r="AX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42"/>
      <c r="AN820" s="20"/>
      <c r="AO820" s="20"/>
      <c r="AP820" s="42"/>
      <c r="AQ820" s="20"/>
      <c r="AR820" s="42"/>
      <c r="AS820" s="42"/>
      <c r="AT820" s="20"/>
      <c r="AU820" s="20"/>
      <c r="AV820" s="20"/>
      <c r="AW820" s="42"/>
      <c r="AX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42"/>
      <c r="AN821" s="20"/>
      <c r="AO821" s="20"/>
      <c r="AP821" s="42"/>
      <c r="AQ821" s="20"/>
      <c r="AR821" s="42"/>
      <c r="AS821" s="42"/>
      <c r="AT821" s="20"/>
      <c r="AU821" s="20"/>
      <c r="AV821" s="20"/>
      <c r="AW821" s="42"/>
      <c r="AX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42"/>
      <c r="AN822" s="20"/>
      <c r="AO822" s="20"/>
      <c r="AP822" s="42"/>
      <c r="AQ822" s="20"/>
      <c r="AR822" s="42"/>
      <c r="AS822" s="42"/>
      <c r="AT822" s="20"/>
      <c r="AU822" s="20"/>
      <c r="AV822" s="20"/>
      <c r="AW822" s="42"/>
      <c r="AX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42"/>
      <c r="AN823" s="20"/>
      <c r="AO823" s="20"/>
      <c r="AP823" s="42"/>
      <c r="AQ823" s="20"/>
      <c r="AR823" s="42"/>
      <c r="AS823" s="42"/>
      <c r="AT823" s="20"/>
      <c r="AU823" s="20"/>
      <c r="AV823" s="20"/>
      <c r="AW823" s="42"/>
      <c r="AX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42"/>
      <c r="AN824" s="20"/>
      <c r="AO824" s="20"/>
      <c r="AP824" s="42"/>
      <c r="AQ824" s="20"/>
      <c r="AR824" s="42"/>
      <c r="AS824" s="42"/>
      <c r="AT824" s="20"/>
      <c r="AU824" s="20"/>
      <c r="AV824" s="20"/>
      <c r="AW824" s="42"/>
      <c r="AX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42"/>
      <c r="AN825" s="20"/>
      <c r="AO825" s="20"/>
      <c r="AP825" s="42"/>
      <c r="AQ825" s="20"/>
      <c r="AR825" s="42"/>
      <c r="AS825" s="42"/>
      <c r="AT825" s="20"/>
      <c r="AU825" s="20"/>
      <c r="AV825" s="20"/>
      <c r="AW825" s="42"/>
      <c r="AX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42"/>
      <c r="AN826" s="20"/>
      <c r="AO826" s="20"/>
      <c r="AP826" s="42"/>
      <c r="AQ826" s="20"/>
      <c r="AR826" s="42"/>
      <c r="AS826" s="42"/>
      <c r="AT826" s="20"/>
      <c r="AU826" s="20"/>
      <c r="AV826" s="20"/>
      <c r="AW826" s="42"/>
      <c r="AX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42"/>
      <c r="AN827" s="20"/>
      <c r="AO827" s="20"/>
      <c r="AP827" s="42"/>
      <c r="AQ827" s="20"/>
      <c r="AR827" s="42"/>
      <c r="AS827" s="42"/>
      <c r="AT827" s="20"/>
      <c r="AU827" s="20"/>
      <c r="AV827" s="20"/>
      <c r="AW827" s="42"/>
      <c r="AX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42"/>
      <c r="AN828" s="20"/>
      <c r="AO828" s="20"/>
      <c r="AP828" s="42"/>
      <c r="AQ828" s="20"/>
      <c r="AR828" s="42"/>
      <c r="AS828" s="42"/>
      <c r="AT828" s="20"/>
      <c r="AU828" s="20"/>
      <c r="AV828" s="20"/>
      <c r="AW828" s="42"/>
      <c r="AX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42"/>
      <c r="AN829" s="20"/>
      <c r="AO829" s="20"/>
      <c r="AP829" s="42"/>
      <c r="AQ829" s="20"/>
      <c r="AR829" s="42"/>
      <c r="AS829" s="42"/>
      <c r="AT829" s="20"/>
      <c r="AU829" s="20"/>
      <c r="AV829" s="20"/>
      <c r="AW829" s="42"/>
      <c r="AX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42"/>
      <c r="AN830" s="20"/>
      <c r="AO830" s="20"/>
      <c r="AP830" s="42"/>
      <c r="AQ830" s="20"/>
      <c r="AR830" s="42"/>
      <c r="AS830" s="42"/>
      <c r="AT830" s="20"/>
      <c r="AU830" s="20"/>
      <c r="AV830" s="20"/>
      <c r="AW830" s="42"/>
      <c r="AX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42"/>
      <c r="AN831" s="20"/>
      <c r="AO831" s="20"/>
      <c r="AP831" s="42"/>
      <c r="AQ831" s="20"/>
      <c r="AR831" s="42"/>
      <c r="AS831" s="42"/>
      <c r="AT831" s="20"/>
      <c r="AU831" s="20"/>
      <c r="AV831" s="20"/>
      <c r="AW831" s="42"/>
      <c r="AX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42"/>
      <c r="AN832" s="20"/>
      <c r="AO832" s="20"/>
      <c r="AP832" s="42"/>
      <c r="AQ832" s="20"/>
      <c r="AR832" s="42"/>
      <c r="AS832" s="42"/>
      <c r="AT832" s="20"/>
      <c r="AU832" s="20"/>
      <c r="AV832" s="20"/>
      <c r="AW832" s="42"/>
      <c r="AX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42"/>
      <c r="AN833" s="20"/>
      <c r="AO833" s="20"/>
      <c r="AP833" s="42"/>
      <c r="AQ833" s="20"/>
      <c r="AR833" s="42"/>
      <c r="AS833" s="42"/>
      <c r="AT833" s="20"/>
      <c r="AU833" s="20"/>
      <c r="AV833" s="20"/>
      <c r="AW833" s="42"/>
      <c r="AX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42"/>
      <c r="AN834" s="20"/>
      <c r="AO834" s="20"/>
      <c r="AP834" s="42"/>
      <c r="AQ834" s="20"/>
      <c r="AR834" s="42"/>
      <c r="AS834" s="42"/>
      <c r="AT834" s="20"/>
      <c r="AU834" s="20"/>
      <c r="AV834" s="20"/>
      <c r="AW834" s="42"/>
      <c r="AX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42"/>
      <c r="AN835" s="20"/>
      <c r="AO835" s="20"/>
      <c r="AP835" s="42"/>
      <c r="AQ835" s="20"/>
      <c r="AR835" s="42"/>
      <c r="AS835" s="42"/>
      <c r="AT835" s="20"/>
      <c r="AU835" s="20"/>
      <c r="AV835" s="20"/>
      <c r="AW835" s="42"/>
      <c r="AX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42"/>
      <c r="AN836" s="20"/>
      <c r="AO836" s="20"/>
      <c r="AP836" s="42"/>
      <c r="AQ836" s="20"/>
      <c r="AR836" s="42"/>
      <c r="AS836" s="42"/>
      <c r="AT836" s="20"/>
      <c r="AU836" s="20"/>
      <c r="AV836" s="20"/>
      <c r="AW836" s="42"/>
      <c r="AX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42"/>
      <c r="AN837" s="20"/>
      <c r="AO837" s="20"/>
      <c r="AP837" s="42"/>
      <c r="AQ837" s="20"/>
      <c r="AR837" s="42"/>
      <c r="AS837" s="42"/>
      <c r="AT837" s="20"/>
      <c r="AU837" s="20"/>
      <c r="AV837" s="20"/>
      <c r="AW837" s="42"/>
      <c r="AX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42"/>
      <c r="AN838" s="20"/>
      <c r="AO838" s="20"/>
      <c r="AP838" s="42"/>
      <c r="AQ838" s="20"/>
      <c r="AR838" s="42"/>
      <c r="AS838" s="42"/>
      <c r="AT838" s="20"/>
      <c r="AU838" s="20"/>
      <c r="AV838" s="20"/>
      <c r="AW838" s="42"/>
      <c r="AX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42"/>
      <c r="AN839" s="20"/>
      <c r="AO839" s="20"/>
      <c r="AP839" s="42"/>
      <c r="AQ839" s="20"/>
      <c r="AR839" s="42"/>
      <c r="AS839" s="42"/>
      <c r="AT839" s="20"/>
      <c r="AU839" s="20"/>
      <c r="AV839" s="20"/>
      <c r="AW839" s="42"/>
      <c r="AX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42"/>
      <c r="AN840" s="20"/>
      <c r="AO840" s="20"/>
      <c r="AP840" s="42"/>
      <c r="AQ840" s="20"/>
      <c r="AR840" s="42"/>
      <c r="AS840" s="42"/>
      <c r="AT840" s="20"/>
      <c r="AU840" s="20"/>
      <c r="AV840" s="20"/>
      <c r="AW840" s="42"/>
      <c r="AX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42"/>
      <c r="AN841" s="20"/>
      <c r="AO841" s="20"/>
      <c r="AP841" s="42"/>
      <c r="AQ841" s="20"/>
      <c r="AR841" s="42"/>
      <c r="AS841" s="42"/>
      <c r="AT841" s="20"/>
      <c r="AU841" s="20"/>
      <c r="AV841" s="20"/>
      <c r="AW841" s="42"/>
      <c r="AX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42"/>
      <c r="AN842" s="20"/>
      <c r="AO842" s="20"/>
      <c r="AP842" s="42"/>
      <c r="AQ842" s="20"/>
      <c r="AR842" s="42"/>
      <c r="AS842" s="42"/>
      <c r="AT842" s="20"/>
      <c r="AU842" s="20"/>
      <c r="AV842" s="20"/>
      <c r="AW842" s="42"/>
      <c r="AX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42"/>
      <c r="AN843" s="20"/>
      <c r="AO843" s="20"/>
      <c r="AP843" s="42"/>
      <c r="AQ843" s="20"/>
      <c r="AR843" s="42"/>
      <c r="AS843" s="42"/>
      <c r="AT843" s="20"/>
      <c r="AU843" s="20"/>
      <c r="AV843" s="20"/>
      <c r="AW843" s="42"/>
      <c r="AX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42"/>
      <c r="AN844" s="20"/>
      <c r="AO844" s="20"/>
      <c r="AP844" s="42"/>
      <c r="AQ844" s="20"/>
      <c r="AR844" s="42"/>
      <c r="AS844" s="42"/>
      <c r="AT844" s="20"/>
      <c r="AU844" s="20"/>
      <c r="AV844" s="20"/>
      <c r="AW844" s="42"/>
      <c r="AX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42"/>
      <c r="AN845" s="20"/>
      <c r="AO845" s="20"/>
      <c r="AP845" s="42"/>
      <c r="AQ845" s="20"/>
      <c r="AR845" s="42"/>
      <c r="AS845" s="42"/>
      <c r="AT845" s="20"/>
      <c r="AU845" s="20"/>
      <c r="AV845" s="20"/>
      <c r="AW845" s="42"/>
      <c r="AX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42"/>
      <c r="AN846" s="20"/>
      <c r="AO846" s="20"/>
      <c r="AP846" s="42"/>
      <c r="AQ846" s="20"/>
      <c r="AR846" s="42"/>
      <c r="AS846" s="42"/>
      <c r="AT846" s="20"/>
      <c r="AU846" s="20"/>
      <c r="AV846" s="20"/>
      <c r="AW846" s="42"/>
      <c r="AX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42"/>
      <c r="AN847" s="20"/>
      <c r="AO847" s="20"/>
      <c r="AP847" s="42"/>
      <c r="AQ847" s="20"/>
      <c r="AR847" s="42"/>
      <c r="AS847" s="42"/>
      <c r="AT847" s="20"/>
      <c r="AU847" s="20"/>
      <c r="AV847" s="20"/>
      <c r="AW847" s="42"/>
      <c r="AX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42"/>
      <c r="AN848" s="20"/>
      <c r="AO848" s="20"/>
      <c r="AP848" s="42"/>
      <c r="AQ848" s="20"/>
      <c r="AR848" s="42"/>
      <c r="AS848" s="42"/>
      <c r="AT848" s="20"/>
      <c r="AU848" s="20"/>
      <c r="AV848" s="20"/>
      <c r="AW848" s="42"/>
      <c r="AX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42"/>
      <c r="AN849" s="20"/>
      <c r="AO849" s="20"/>
      <c r="AP849" s="42"/>
      <c r="AQ849" s="20"/>
      <c r="AR849" s="42"/>
      <c r="AS849" s="42"/>
      <c r="AT849" s="20"/>
      <c r="AU849" s="20"/>
      <c r="AV849" s="20"/>
      <c r="AW849" s="42"/>
      <c r="AX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42"/>
      <c r="AN850" s="20"/>
      <c r="AO850" s="20"/>
      <c r="AP850" s="42"/>
      <c r="AQ850" s="20"/>
      <c r="AR850" s="42"/>
      <c r="AS850" s="42"/>
      <c r="AT850" s="20"/>
      <c r="AU850" s="20"/>
      <c r="AV850" s="20"/>
      <c r="AW850" s="42"/>
      <c r="AX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42"/>
      <c r="AN851" s="20"/>
      <c r="AO851" s="20"/>
      <c r="AP851" s="42"/>
      <c r="AQ851" s="20"/>
      <c r="AR851" s="42"/>
      <c r="AS851" s="42"/>
      <c r="AT851" s="20"/>
      <c r="AU851" s="20"/>
      <c r="AV851" s="20"/>
      <c r="AW851" s="42"/>
      <c r="AX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42"/>
      <c r="AN852" s="20"/>
      <c r="AO852" s="20"/>
      <c r="AP852" s="42"/>
      <c r="AQ852" s="20"/>
      <c r="AR852" s="42"/>
      <c r="AS852" s="42"/>
      <c r="AT852" s="20"/>
      <c r="AU852" s="20"/>
      <c r="AV852" s="20"/>
      <c r="AW852" s="42"/>
      <c r="AX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42"/>
      <c r="AN853" s="20"/>
      <c r="AO853" s="20"/>
      <c r="AP853" s="42"/>
      <c r="AQ853" s="20"/>
      <c r="AR853" s="42"/>
      <c r="AS853" s="42"/>
      <c r="AT853" s="20"/>
      <c r="AU853" s="20"/>
      <c r="AV853" s="20"/>
      <c r="AW853" s="42"/>
      <c r="AX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42"/>
      <c r="AN854" s="20"/>
      <c r="AO854" s="20"/>
      <c r="AP854" s="42"/>
      <c r="AQ854" s="20"/>
      <c r="AR854" s="42"/>
      <c r="AS854" s="42"/>
      <c r="AT854" s="20"/>
      <c r="AU854" s="20"/>
      <c r="AV854" s="20"/>
      <c r="AW854" s="42"/>
      <c r="AX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42"/>
      <c r="AN855" s="20"/>
      <c r="AO855" s="20"/>
      <c r="AP855" s="42"/>
      <c r="AQ855" s="20"/>
      <c r="AR855" s="42"/>
      <c r="AS855" s="42"/>
      <c r="AT855" s="20"/>
      <c r="AU855" s="20"/>
      <c r="AV855" s="20"/>
      <c r="AW855" s="42"/>
      <c r="AX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42"/>
      <c r="AN856" s="20"/>
      <c r="AO856" s="20"/>
      <c r="AP856" s="42"/>
      <c r="AQ856" s="20"/>
      <c r="AR856" s="42"/>
      <c r="AS856" s="42"/>
      <c r="AT856" s="20"/>
      <c r="AU856" s="20"/>
      <c r="AV856" s="20"/>
      <c r="AW856" s="42"/>
      <c r="AX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42"/>
      <c r="AN857" s="20"/>
      <c r="AO857" s="20"/>
      <c r="AP857" s="42"/>
      <c r="AQ857" s="20"/>
      <c r="AR857" s="42"/>
      <c r="AS857" s="42"/>
      <c r="AT857" s="20"/>
      <c r="AU857" s="20"/>
      <c r="AV857" s="20"/>
      <c r="AW857" s="42"/>
      <c r="AX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42"/>
      <c r="AN858" s="20"/>
      <c r="AO858" s="20"/>
      <c r="AP858" s="42"/>
      <c r="AQ858" s="20"/>
      <c r="AR858" s="42"/>
      <c r="AS858" s="42"/>
      <c r="AT858" s="20"/>
      <c r="AU858" s="20"/>
      <c r="AV858" s="20"/>
      <c r="AW858" s="42"/>
      <c r="AX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42"/>
      <c r="AN859" s="20"/>
      <c r="AO859" s="20"/>
      <c r="AP859" s="42"/>
      <c r="AQ859" s="20"/>
      <c r="AR859" s="42"/>
      <c r="AS859" s="42"/>
      <c r="AT859" s="20"/>
      <c r="AU859" s="20"/>
      <c r="AV859" s="20"/>
      <c r="AW859" s="42"/>
      <c r="AX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42"/>
      <c r="AN860" s="20"/>
      <c r="AO860" s="20"/>
      <c r="AP860" s="42"/>
      <c r="AQ860" s="20"/>
      <c r="AR860" s="42"/>
      <c r="AS860" s="42"/>
      <c r="AT860" s="20"/>
      <c r="AU860" s="20"/>
      <c r="AV860" s="20"/>
      <c r="AW860" s="42"/>
      <c r="AX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42"/>
      <c r="AN861" s="20"/>
      <c r="AO861" s="20"/>
      <c r="AP861" s="42"/>
      <c r="AQ861" s="20"/>
      <c r="AR861" s="42"/>
      <c r="AS861" s="42"/>
      <c r="AT861" s="20"/>
      <c r="AU861" s="20"/>
      <c r="AV861" s="20"/>
      <c r="AW861" s="42"/>
      <c r="AX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42"/>
      <c r="AN862" s="20"/>
      <c r="AO862" s="20"/>
      <c r="AP862" s="42"/>
      <c r="AQ862" s="20"/>
      <c r="AR862" s="42"/>
      <c r="AS862" s="42"/>
      <c r="AT862" s="20"/>
      <c r="AU862" s="20"/>
      <c r="AV862" s="20"/>
      <c r="AW862" s="42"/>
      <c r="AX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42"/>
      <c r="AN863" s="20"/>
      <c r="AO863" s="20"/>
      <c r="AP863" s="42"/>
      <c r="AQ863" s="20"/>
      <c r="AR863" s="42"/>
      <c r="AS863" s="42"/>
      <c r="AT863" s="20"/>
      <c r="AU863" s="20"/>
      <c r="AV863" s="20"/>
      <c r="AW863" s="42"/>
      <c r="AX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42"/>
      <c r="AN864" s="20"/>
      <c r="AO864" s="20"/>
      <c r="AP864" s="42"/>
      <c r="AQ864" s="20"/>
      <c r="AR864" s="42"/>
      <c r="AS864" s="42"/>
      <c r="AT864" s="20"/>
      <c r="AU864" s="20"/>
      <c r="AV864" s="20"/>
      <c r="AW864" s="42"/>
      <c r="AX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42"/>
      <c r="AN865" s="20"/>
      <c r="AO865" s="20"/>
      <c r="AP865" s="42"/>
      <c r="AQ865" s="20"/>
      <c r="AR865" s="42"/>
      <c r="AS865" s="42"/>
      <c r="AT865" s="20"/>
      <c r="AU865" s="20"/>
      <c r="AV865" s="20"/>
      <c r="AW865" s="42"/>
      <c r="AX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42"/>
      <c r="AN866" s="20"/>
      <c r="AO866" s="20"/>
      <c r="AP866" s="42"/>
      <c r="AQ866" s="20"/>
      <c r="AR866" s="42"/>
      <c r="AS866" s="42"/>
      <c r="AT866" s="20"/>
      <c r="AU866" s="20"/>
      <c r="AV866" s="20"/>
      <c r="AW866" s="42"/>
      <c r="AX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42"/>
      <c r="AN867" s="20"/>
      <c r="AO867" s="20"/>
      <c r="AP867" s="42"/>
      <c r="AQ867" s="20"/>
      <c r="AR867" s="42"/>
      <c r="AS867" s="42"/>
      <c r="AT867" s="20"/>
      <c r="AU867" s="20"/>
      <c r="AV867" s="20"/>
      <c r="AW867" s="42"/>
      <c r="AX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42"/>
      <c r="AN868" s="20"/>
      <c r="AO868" s="20"/>
      <c r="AP868" s="42"/>
      <c r="AQ868" s="20"/>
      <c r="AR868" s="42"/>
      <c r="AS868" s="42"/>
      <c r="AT868" s="20"/>
      <c r="AU868" s="20"/>
      <c r="AV868" s="20"/>
      <c r="AW868" s="42"/>
      <c r="AX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42"/>
      <c r="AN869" s="20"/>
      <c r="AO869" s="20"/>
      <c r="AP869" s="42"/>
      <c r="AQ869" s="20"/>
      <c r="AR869" s="42"/>
      <c r="AS869" s="42"/>
      <c r="AT869" s="20"/>
      <c r="AU869" s="20"/>
      <c r="AV869" s="20"/>
      <c r="AW869" s="42"/>
      <c r="AX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42"/>
      <c r="AN870" s="20"/>
      <c r="AO870" s="20"/>
      <c r="AP870" s="42"/>
      <c r="AQ870" s="20"/>
      <c r="AR870" s="42"/>
      <c r="AS870" s="42"/>
      <c r="AT870" s="20"/>
      <c r="AU870" s="20"/>
      <c r="AV870" s="20"/>
      <c r="AW870" s="42"/>
      <c r="AX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42"/>
      <c r="AN871" s="20"/>
      <c r="AO871" s="20"/>
      <c r="AP871" s="42"/>
      <c r="AQ871" s="20"/>
      <c r="AR871" s="42"/>
      <c r="AS871" s="42"/>
      <c r="AT871" s="20"/>
      <c r="AU871" s="20"/>
      <c r="AV871" s="20"/>
      <c r="AW871" s="42"/>
      <c r="AX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42"/>
      <c r="AN872" s="20"/>
      <c r="AO872" s="20"/>
      <c r="AP872" s="42"/>
      <c r="AQ872" s="20"/>
      <c r="AR872" s="42"/>
      <c r="AS872" s="42"/>
      <c r="AT872" s="20"/>
      <c r="AU872" s="20"/>
      <c r="AV872" s="20"/>
      <c r="AW872" s="42"/>
      <c r="AX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42"/>
      <c r="AN873" s="20"/>
      <c r="AO873" s="20"/>
      <c r="AP873" s="42"/>
      <c r="AQ873" s="20"/>
      <c r="AR873" s="42"/>
      <c r="AS873" s="42"/>
      <c r="AT873" s="20"/>
      <c r="AU873" s="20"/>
      <c r="AV873" s="20"/>
      <c r="AW873" s="42"/>
      <c r="AX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42"/>
      <c r="AN874" s="20"/>
      <c r="AO874" s="20"/>
      <c r="AP874" s="42"/>
      <c r="AQ874" s="20"/>
      <c r="AR874" s="42"/>
      <c r="AS874" s="42"/>
      <c r="AT874" s="20"/>
      <c r="AU874" s="20"/>
      <c r="AV874" s="20"/>
      <c r="AW874" s="42"/>
      <c r="AX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42"/>
      <c r="AN875" s="20"/>
      <c r="AO875" s="20"/>
      <c r="AP875" s="42"/>
      <c r="AQ875" s="20"/>
      <c r="AR875" s="42"/>
      <c r="AS875" s="42"/>
      <c r="AT875" s="20"/>
      <c r="AU875" s="20"/>
      <c r="AV875" s="20"/>
      <c r="AW875" s="42"/>
      <c r="AX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42"/>
      <c r="AN876" s="20"/>
      <c r="AO876" s="20"/>
      <c r="AP876" s="42"/>
      <c r="AQ876" s="20"/>
      <c r="AR876" s="42"/>
      <c r="AS876" s="42"/>
      <c r="AT876" s="20"/>
      <c r="AU876" s="20"/>
      <c r="AV876" s="20"/>
      <c r="AW876" s="42"/>
      <c r="AX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42"/>
      <c r="AN877" s="20"/>
      <c r="AO877" s="20"/>
      <c r="AP877" s="42"/>
      <c r="AQ877" s="20"/>
      <c r="AR877" s="42"/>
      <c r="AS877" s="42"/>
      <c r="AT877" s="20"/>
      <c r="AU877" s="20"/>
      <c r="AV877" s="20"/>
      <c r="AW877" s="42"/>
      <c r="AX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42"/>
      <c r="AN878" s="20"/>
      <c r="AO878" s="20"/>
      <c r="AP878" s="42"/>
      <c r="AQ878" s="20"/>
      <c r="AR878" s="42"/>
      <c r="AS878" s="42"/>
      <c r="AT878" s="20"/>
      <c r="AU878" s="20"/>
      <c r="AV878" s="20"/>
      <c r="AW878" s="42"/>
      <c r="AX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42"/>
      <c r="AN879" s="20"/>
      <c r="AO879" s="20"/>
      <c r="AP879" s="42"/>
      <c r="AQ879" s="20"/>
      <c r="AR879" s="42"/>
      <c r="AS879" s="42"/>
      <c r="AT879" s="20"/>
      <c r="AU879" s="20"/>
      <c r="AV879" s="20"/>
      <c r="AW879" s="42"/>
      <c r="AX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42"/>
      <c r="AN880" s="20"/>
      <c r="AO880" s="20"/>
      <c r="AP880" s="42"/>
      <c r="AQ880" s="20"/>
      <c r="AR880" s="42"/>
      <c r="AS880" s="42"/>
      <c r="AT880" s="20"/>
      <c r="AU880" s="20"/>
      <c r="AV880" s="20"/>
      <c r="AW880" s="42"/>
      <c r="AX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42"/>
      <c r="AN881" s="20"/>
      <c r="AO881" s="20"/>
      <c r="AP881" s="42"/>
      <c r="AQ881" s="20"/>
      <c r="AR881" s="42"/>
      <c r="AS881" s="42"/>
      <c r="AT881" s="20"/>
      <c r="AU881" s="20"/>
      <c r="AV881" s="20"/>
      <c r="AW881" s="42"/>
      <c r="AX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42"/>
      <c r="AN882" s="20"/>
      <c r="AO882" s="20"/>
      <c r="AP882" s="42"/>
      <c r="AQ882" s="20"/>
      <c r="AR882" s="42"/>
      <c r="AS882" s="42"/>
      <c r="AT882" s="20"/>
      <c r="AU882" s="20"/>
      <c r="AV882" s="20"/>
      <c r="AW882" s="42"/>
      <c r="AX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42"/>
      <c r="AN883" s="20"/>
      <c r="AO883" s="20"/>
      <c r="AP883" s="42"/>
      <c r="AQ883" s="20"/>
      <c r="AR883" s="42"/>
      <c r="AS883" s="42"/>
      <c r="AT883" s="20"/>
      <c r="AU883" s="20"/>
      <c r="AV883" s="20"/>
      <c r="AW883" s="42"/>
      <c r="AX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42"/>
      <c r="AN884" s="20"/>
      <c r="AO884" s="20"/>
      <c r="AP884" s="42"/>
      <c r="AQ884" s="20"/>
      <c r="AR884" s="42"/>
      <c r="AS884" s="42"/>
      <c r="AT884" s="20"/>
      <c r="AU884" s="20"/>
      <c r="AV884" s="20"/>
      <c r="AW884" s="42"/>
      <c r="AX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42"/>
      <c r="AN885" s="20"/>
      <c r="AO885" s="20"/>
      <c r="AP885" s="42"/>
      <c r="AQ885" s="20"/>
      <c r="AR885" s="42"/>
      <c r="AS885" s="42"/>
      <c r="AT885" s="20"/>
      <c r="AU885" s="20"/>
      <c r="AV885" s="20"/>
      <c r="AW885" s="42"/>
      <c r="AX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42"/>
      <c r="AN886" s="20"/>
      <c r="AO886" s="20"/>
      <c r="AP886" s="42"/>
      <c r="AQ886" s="20"/>
      <c r="AR886" s="42"/>
      <c r="AS886" s="42"/>
      <c r="AT886" s="20"/>
      <c r="AU886" s="20"/>
      <c r="AV886" s="20"/>
      <c r="AW886" s="42"/>
      <c r="AX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42"/>
      <c r="AN887" s="20"/>
      <c r="AO887" s="20"/>
      <c r="AP887" s="42"/>
      <c r="AQ887" s="20"/>
      <c r="AR887" s="42"/>
      <c r="AS887" s="42"/>
      <c r="AT887" s="20"/>
      <c r="AU887" s="20"/>
      <c r="AV887" s="20"/>
      <c r="AW887" s="42"/>
      <c r="AX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42"/>
      <c r="AN888" s="20"/>
      <c r="AO888" s="20"/>
      <c r="AP888" s="42"/>
      <c r="AQ888" s="20"/>
      <c r="AR888" s="42"/>
      <c r="AS888" s="42"/>
      <c r="AT888" s="20"/>
      <c r="AU888" s="20"/>
      <c r="AV888" s="20"/>
      <c r="AW888" s="42"/>
      <c r="AX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42"/>
      <c r="AN889" s="20"/>
      <c r="AO889" s="20"/>
      <c r="AP889" s="42"/>
      <c r="AQ889" s="20"/>
      <c r="AR889" s="42"/>
      <c r="AS889" s="42"/>
      <c r="AT889" s="20"/>
      <c r="AU889" s="20"/>
      <c r="AV889" s="20"/>
      <c r="AW889" s="42"/>
      <c r="AX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42"/>
      <c r="AN890" s="20"/>
      <c r="AO890" s="20"/>
      <c r="AP890" s="42"/>
      <c r="AQ890" s="20"/>
      <c r="AR890" s="42"/>
      <c r="AS890" s="42"/>
      <c r="AT890" s="20"/>
      <c r="AU890" s="20"/>
      <c r="AV890" s="20"/>
      <c r="AW890" s="42"/>
      <c r="AX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42"/>
      <c r="AN891" s="20"/>
      <c r="AO891" s="20"/>
      <c r="AP891" s="42"/>
      <c r="AQ891" s="20"/>
      <c r="AR891" s="42"/>
      <c r="AS891" s="42"/>
      <c r="AT891" s="20"/>
      <c r="AU891" s="20"/>
      <c r="AV891" s="20"/>
      <c r="AW891" s="42"/>
      <c r="AX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42"/>
      <c r="AN892" s="20"/>
      <c r="AO892" s="20"/>
      <c r="AP892" s="42"/>
      <c r="AQ892" s="20"/>
      <c r="AR892" s="42"/>
      <c r="AS892" s="42"/>
      <c r="AT892" s="20"/>
      <c r="AU892" s="20"/>
      <c r="AV892" s="20"/>
      <c r="AW892" s="42"/>
      <c r="AX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42"/>
      <c r="AN893" s="20"/>
      <c r="AO893" s="20"/>
      <c r="AP893" s="42"/>
      <c r="AQ893" s="20"/>
      <c r="AR893" s="42"/>
      <c r="AS893" s="42"/>
      <c r="AT893" s="20"/>
      <c r="AU893" s="20"/>
      <c r="AV893" s="20"/>
      <c r="AW893" s="42"/>
      <c r="AX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42"/>
      <c r="AN894" s="20"/>
      <c r="AO894" s="20"/>
      <c r="AP894" s="42"/>
      <c r="AQ894" s="20"/>
      <c r="AR894" s="42"/>
      <c r="AS894" s="42"/>
      <c r="AT894" s="20"/>
      <c r="AU894" s="20"/>
      <c r="AV894" s="20"/>
      <c r="AW894" s="42"/>
      <c r="AX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42"/>
      <c r="AN895" s="20"/>
      <c r="AO895" s="20"/>
      <c r="AP895" s="42"/>
      <c r="AQ895" s="20"/>
      <c r="AR895" s="42"/>
      <c r="AS895" s="42"/>
      <c r="AT895" s="20"/>
      <c r="AU895" s="20"/>
      <c r="AV895" s="20"/>
      <c r="AW895" s="42"/>
      <c r="AX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42"/>
      <c r="AN896" s="20"/>
      <c r="AO896" s="20"/>
      <c r="AP896" s="42"/>
      <c r="AQ896" s="20"/>
      <c r="AR896" s="42"/>
      <c r="AS896" s="42"/>
      <c r="AT896" s="20"/>
      <c r="AU896" s="20"/>
      <c r="AV896" s="20"/>
      <c r="AW896" s="42"/>
      <c r="AX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42"/>
      <c r="AN897" s="20"/>
      <c r="AO897" s="20"/>
      <c r="AP897" s="42"/>
      <c r="AQ897" s="20"/>
      <c r="AR897" s="42"/>
      <c r="AS897" s="42"/>
      <c r="AT897" s="20"/>
      <c r="AU897" s="20"/>
      <c r="AV897" s="20"/>
      <c r="AW897" s="42"/>
      <c r="AX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42"/>
      <c r="AN898" s="20"/>
      <c r="AO898" s="20"/>
      <c r="AP898" s="42"/>
      <c r="AQ898" s="20"/>
      <c r="AR898" s="42"/>
      <c r="AS898" s="42"/>
      <c r="AT898" s="20"/>
      <c r="AU898" s="20"/>
      <c r="AV898" s="20"/>
      <c r="AW898" s="42"/>
      <c r="AX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42"/>
      <c r="AN899" s="20"/>
      <c r="AO899" s="20"/>
      <c r="AP899" s="42"/>
      <c r="AQ899" s="20"/>
      <c r="AR899" s="42"/>
      <c r="AS899" s="42"/>
      <c r="AT899" s="20"/>
      <c r="AU899" s="20"/>
      <c r="AV899" s="20"/>
      <c r="AW899" s="42"/>
      <c r="AX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42"/>
      <c r="AN900" s="20"/>
      <c r="AO900" s="20"/>
      <c r="AP900" s="42"/>
      <c r="AQ900" s="20"/>
      <c r="AR900" s="42"/>
      <c r="AS900" s="42"/>
      <c r="AT900" s="20"/>
      <c r="AU900" s="20"/>
      <c r="AV900" s="20"/>
      <c r="AW900" s="42"/>
      <c r="AX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42"/>
      <c r="AN901" s="20"/>
      <c r="AO901" s="20"/>
      <c r="AP901" s="42"/>
      <c r="AQ901" s="20"/>
      <c r="AR901" s="42"/>
      <c r="AS901" s="42"/>
      <c r="AT901" s="20"/>
      <c r="AU901" s="20"/>
      <c r="AV901" s="20"/>
      <c r="AW901" s="42"/>
      <c r="AX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42"/>
      <c r="AN902" s="20"/>
      <c r="AO902" s="20"/>
      <c r="AP902" s="42"/>
      <c r="AQ902" s="20"/>
      <c r="AR902" s="42"/>
      <c r="AS902" s="42"/>
      <c r="AT902" s="20"/>
      <c r="AU902" s="20"/>
      <c r="AV902" s="20"/>
      <c r="AW902" s="42"/>
      <c r="AX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42"/>
      <c r="AN903" s="20"/>
      <c r="AO903" s="20"/>
      <c r="AP903" s="42"/>
      <c r="AQ903" s="20"/>
      <c r="AR903" s="42"/>
      <c r="AS903" s="42"/>
      <c r="AT903" s="20"/>
      <c r="AU903" s="20"/>
      <c r="AV903" s="20"/>
      <c r="AW903" s="42"/>
      <c r="AX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42"/>
      <c r="AN904" s="20"/>
      <c r="AO904" s="20"/>
      <c r="AP904" s="42"/>
      <c r="AQ904" s="20"/>
      <c r="AR904" s="42"/>
      <c r="AS904" s="42"/>
      <c r="AT904" s="20"/>
      <c r="AU904" s="20"/>
      <c r="AV904" s="20"/>
      <c r="AW904" s="42"/>
      <c r="AX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42"/>
      <c r="AN905" s="20"/>
      <c r="AO905" s="20"/>
      <c r="AP905" s="42"/>
      <c r="AQ905" s="20"/>
      <c r="AR905" s="42"/>
      <c r="AS905" s="42"/>
      <c r="AT905" s="20"/>
      <c r="AU905" s="20"/>
      <c r="AV905" s="20"/>
      <c r="AW905" s="42"/>
      <c r="AX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42"/>
      <c r="AN906" s="20"/>
      <c r="AO906" s="20"/>
      <c r="AP906" s="42"/>
      <c r="AQ906" s="20"/>
      <c r="AR906" s="42"/>
      <c r="AS906" s="42"/>
      <c r="AT906" s="20"/>
      <c r="AU906" s="20"/>
      <c r="AV906" s="20"/>
      <c r="AW906" s="42"/>
      <c r="AX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42"/>
      <c r="AN907" s="20"/>
      <c r="AO907" s="20"/>
      <c r="AP907" s="42"/>
      <c r="AQ907" s="20"/>
      <c r="AR907" s="42"/>
      <c r="AS907" s="42"/>
      <c r="AT907" s="20"/>
      <c r="AU907" s="20"/>
      <c r="AV907" s="20"/>
      <c r="AW907" s="42"/>
      <c r="AX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42"/>
      <c r="AN908" s="20"/>
      <c r="AO908" s="20"/>
      <c r="AP908" s="42"/>
      <c r="AQ908" s="20"/>
      <c r="AR908" s="42"/>
      <c r="AS908" s="42"/>
      <c r="AT908" s="20"/>
      <c r="AU908" s="20"/>
      <c r="AV908" s="20"/>
      <c r="AW908" s="42"/>
      <c r="AX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42"/>
      <c r="AN909" s="20"/>
      <c r="AO909" s="20"/>
      <c r="AP909" s="42"/>
      <c r="AQ909" s="20"/>
      <c r="AR909" s="42"/>
      <c r="AS909" s="42"/>
      <c r="AT909" s="20"/>
      <c r="AU909" s="20"/>
      <c r="AV909" s="20"/>
      <c r="AW909" s="42"/>
      <c r="AX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42"/>
      <c r="AN910" s="20"/>
      <c r="AO910" s="20"/>
      <c r="AP910" s="42"/>
      <c r="AQ910" s="20"/>
      <c r="AR910" s="42"/>
      <c r="AS910" s="42"/>
      <c r="AT910" s="20"/>
      <c r="AU910" s="20"/>
      <c r="AV910" s="20"/>
      <c r="AW910" s="42"/>
      <c r="AX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42"/>
      <c r="AN911" s="20"/>
      <c r="AO911" s="20"/>
      <c r="AP911" s="42"/>
      <c r="AQ911" s="20"/>
      <c r="AR911" s="42"/>
      <c r="AS911" s="42"/>
      <c r="AT911" s="20"/>
      <c r="AU911" s="20"/>
      <c r="AV911" s="20"/>
      <c r="AW911" s="42"/>
      <c r="AX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42"/>
      <c r="AN912" s="20"/>
      <c r="AO912" s="20"/>
      <c r="AP912" s="42"/>
      <c r="AQ912" s="20"/>
      <c r="AR912" s="42"/>
      <c r="AS912" s="42"/>
      <c r="AT912" s="20"/>
      <c r="AU912" s="20"/>
      <c r="AV912" s="20"/>
      <c r="AW912" s="42"/>
      <c r="AX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42"/>
      <c r="AN913" s="20"/>
      <c r="AO913" s="20"/>
      <c r="AP913" s="42"/>
      <c r="AQ913" s="20"/>
      <c r="AR913" s="42"/>
      <c r="AS913" s="42"/>
      <c r="AT913" s="20"/>
      <c r="AU913" s="20"/>
      <c r="AV913" s="20"/>
      <c r="AW913" s="42"/>
      <c r="AX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42"/>
      <c r="AN914" s="20"/>
      <c r="AO914" s="20"/>
      <c r="AP914" s="42"/>
      <c r="AQ914" s="20"/>
      <c r="AR914" s="42"/>
      <c r="AS914" s="42"/>
      <c r="AT914" s="20"/>
      <c r="AU914" s="20"/>
      <c r="AV914" s="20"/>
      <c r="AW914" s="42"/>
      <c r="AX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42"/>
      <c r="AN915" s="20"/>
      <c r="AO915" s="20"/>
      <c r="AP915" s="42"/>
      <c r="AQ915" s="20"/>
      <c r="AR915" s="42"/>
      <c r="AS915" s="42"/>
      <c r="AT915" s="20"/>
      <c r="AU915" s="20"/>
      <c r="AV915" s="20"/>
      <c r="AW915" s="42"/>
      <c r="AX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42"/>
      <c r="AN916" s="20"/>
      <c r="AO916" s="20"/>
      <c r="AP916" s="42"/>
      <c r="AQ916" s="20"/>
      <c r="AR916" s="42"/>
      <c r="AS916" s="42"/>
      <c r="AT916" s="20"/>
      <c r="AU916" s="20"/>
      <c r="AV916" s="20"/>
      <c r="AW916" s="42"/>
      <c r="AX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42"/>
      <c r="AN917" s="20"/>
      <c r="AO917" s="20"/>
      <c r="AP917" s="42"/>
      <c r="AQ917" s="20"/>
      <c r="AR917" s="42"/>
      <c r="AS917" s="42"/>
      <c r="AT917" s="20"/>
      <c r="AU917" s="20"/>
      <c r="AV917" s="20"/>
      <c r="AW917" s="42"/>
      <c r="AX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42"/>
      <c r="AN918" s="20"/>
      <c r="AO918" s="20"/>
      <c r="AP918" s="42"/>
      <c r="AQ918" s="20"/>
      <c r="AR918" s="42"/>
      <c r="AS918" s="42"/>
      <c r="AT918" s="20"/>
      <c r="AU918" s="20"/>
      <c r="AV918" s="20"/>
      <c r="AW918" s="42"/>
      <c r="AX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42"/>
      <c r="AN919" s="20"/>
      <c r="AO919" s="20"/>
      <c r="AP919" s="42"/>
      <c r="AQ919" s="20"/>
      <c r="AR919" s="42"/>
      <c r="AS919" s="42"/>
      <c r="AT919" s="20"/>
      <c r="AU919" s="20"/>
      <c r="AV919" s="20"/>
      <c r="AW919" s="42"/>
      <c r="AX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42"/>
      <c r="AN920" s="20"/>
      <c r="AO920" s="20"/>
      <c r="AP920" s="42"/>
      <c r="AQ920" s="20"/>
      <c r="AR920" s="42"/>
      <c r="AS920" s="42"/>
      <c r="AT920" s="20"/>
      <c r="AU920" s="20"/>
      <c r="AV920" s="20"/>
      <c r="AW920" s="42"/>
      <c r="AX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42"/>
      <c r="AN921" s="20"/>
      <c r="AO921" s="20"/>
      <c r="AP921" s="42"/>
      <c r="AQ921" s="20"/>
      <c r="AR921" s="42"/>
      <c r="AS921" s="42"/>
      <c r="AT921" s="20"/>
      <c r="AU921" s="20"/>
      <c r="AV921" s="20"/>
      <c r="AW921" s="42"/>
      <c r="AX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42"/>
      <c r="AN922" s="20"/>
      <c r="AO922" s="20"/>
      <c r="AP922" s="42"/>
      <c r="AQ922" s="20"/>
      <c r="AR922" s="42"/>
      <c r="AS922" s="42"/>
      <c r="AT922" s="20"/>
      <c r="AU922" s="20"/>
      <c r="AV922" s="20"/>
      <c r="AW922" s="42"/>
      <c r="AX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42"/>
      <c r="AN923" s="20"/>
      <c r="AO923" s="20"/>
      <c r="AP923" s="42"/>
      <c r="AQ923" s="20"/>
      <c r="AR923" s="42"/>
      <c r="AS923" s="42"/>
      <c r="AT923" s="20"/>
      <c r="AU923" s="20"/>
      <c r="AV923" s="20"/>
      <c r="AW923" s="42"/>
      <c r="AX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42"/>
      <c r="AN924" s="20"/>
      <c r="AO924" s="20"/>
      <c r="AP924" s="42"/>
      <c r="AQ924" s="20"/>
      <c r="AR924" s="42"/>
      <c r="AS924" s="42"/>
      <c r="AT924" s="20"/>
      <c r="AU924" s="20"/>
      <c r="AV924" s="20"/>
      <c r="AW924" s="42"/>
      <c r="AX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42"/>
      <c r="AN925" s="20"/>
      <c r="AO925" s="20"/>
      <c r="AP925" s="42"/>
      <c r="AQ925" s="20"/>
      <c r="AR925" s="42"/>
      <c r="AS925" s="42"/>
      <c r="AT925" s="20"/>
      <c r="AU925" s="20"/>
      <c r="AV925" s="20"/>
      <c r="AW925" s="42"/>
      <c r="AX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42"/>
      <c r="AN926" s="20"/>
      <c r="AO926" s="20"/>
      <c r="AP926" s="42"/>
      <c r="AQ926" s="20"/>
      <c r="AR926" s="42"/>
      <c r="AS926" s="42"/>
      <c r="AT926" s="20"/>
      <c r="AU926" s="20"/>
      <c r="AV926" s="20"/>
      <c r="AW926" s="42"/>
      <c r="AX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42"/>
      <c r="AN927" s="20"/>
      <c r="AO927" s="20"/>
      <c r="AP927" s="42"/>
      <c r="AQ927" s="20"/>
      <c r="AR927" s="42"/>
      <c r="AS927" s="42"/>
      <c r="AT927" s="20"/>
      <c r="AU927" s="20"/>
      <c r="AV927" s="20"/>
      <c r="AW927" s="42"/>
      <c r="AX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42"/>
      <c r="AN928" s="20"/>
      <c r="AO928" s="20"/>
      <c r="AP928" s="42"/>
      <c r="AQ928" s="20"/>
      <c r="AR928" s="42"/>
      <c r="AS928" s="42"/>
      <c r="AT928" s="20"/>
      <c r="AU928" s="20"/>
      <c r="AV928" s="20"/>
      <c r="AW928" s="42"/>
      <c r="AX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42"/>
      <c r="AN929" s="20"/>
      <c r="AO929" s="20"/>
      <c r="AP929" s="42"/>
      <c r="AQ929" s="20"/>
      <c r="AR929" s="42"/>
      <c r="AS929" s="42"/>
      <c r="AT929" s="20"/>
      <c r="AU929" s="20"/>
      <c r="AV929" s="20"/>
      <c r="AW929" s="42"/>
      <c r="AX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42"/>
      <c r="AN930" s="20"/>
      <c r="AO930" s="20"/>
      <c r="AP930" s="42"/>
      <c r="AQ930" s="20"/>
      <c r="AR930" s="42"/>
      <c r="AS930" s="42"/>
      <c r="AT930" s="20"/>
      <c r="AU930" s="20"/>
      <c r="AV930" s="20"/>
      <c r="AW930" s="42"/>
      <c r="AX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42"/>
      <c r="AN931" s="20"/>
      <c r="AO931" s="20"/>
      <c r="AP931" s="42"/>
      <c r="AQ931" s="20"/>
      <c r="AR931" s="42"/>
      <c r="AS931" s="42"/>
      <c r="AT931" s="20"/>
      <c r="AU931" s="20"/>
      <c r="AV931" s="20"/>
      <c r="AW931" s="42"/>
      <c r="AX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42"/>
      <c r="AN932" s="20"/>
      <c r="AO932" s="20"/>
      <c r="AP932" s="42"/>
      <c r="AQ932" s="20"/>
      <c r="AR932" s="42"/>
      <c r="AS932" s="42"/>
      <c r="AT932" s="20"/>
      <c r="AU932" s="20"/>
      <c r="AV932" s="20"/>
      <c r="AW932" s="42"/>
      <c r="AX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42"/>
      <c r="AN933" s="20"/>
      <c r="AO933" s="20"/>
      <c r="AP933" s="42"/>
      <c r="AQ933" s="20"/>
      <c r="AR933" s="42"/>
      <c r="AS933" s="42"/>
      <c r="AT933" s="20"/>
      <c r="AU933" s="20"/>
      <c r="AV933" s="20"/>
      <c r="AW933" s="42"/>
      <c r="AX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42"/>
      <c r="AN934" s="20"/>
      <c r="AO934" s="20"/>
      <c r="AP934" s="42"/>
      <c r="AQ934" s="20"/>
      <c r="AR934" s="42"/>
      <c r="AS934" s="42"/>
      <c r="AT934" s="20"/>
      <c r="AU934" s="20"/>
      <c r="AV934" s="20"/>
      <c r="AW934" s="42"/>
      <c r="AX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42"/>
      <c r="AN935" s="20"/>
      <c r="AO935" s="20"/>
      <c r="AP935" s="42"/>
      <c r="AQ935" s="20"/>
      <c r="AR935" s="42"/>
      <c r="AS935" s="42"/>
      <c r="AT935" s="20"/>
      <c r="AU935" s="20"/>
      <c r="AV935" s="20"/>
      <c r="AW935" s="42"/>
      <c r="AX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42"/>
      <c r="AN936" s="20"/>
      <c r="AO936" s="20"/>
      <c r="AP936" s="42"/>
      <c r="AQ936" s="20"/>
      <c r="AR936" s="42"/>
      <c r="AS936" s="42"/>
      <c r="AT936" s="20"/>
      <c r="AU936" s="20"/>
      <c r="AV936" s="20"/>
      <c r="AW936" s="42"/>
      <c r="AX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42"/>
      <c r="AN937" s="20"/>
      <c r="AO937" s="20"/>
      <c r="AP937" s="42"/>
      <c r="AQ937" s="20"/>
      <c r="AR937" s="42"/>
      <c r="AS937" s="42"/>
      <c r="AT937" s="20"/>
      <c r="AU937" s="20"/>
      <c r="AV937" s="20"/>
      <c r="AW937" s="42"/>
      <c r="AX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42"/>
      <c r="AN938" s="20"/>
      <c r="AO938" s="20"/>
      <c r="AP938" s="42"/>
      <c r="AQ938" s="20"/>
      <c r="AR938" s="42"/>
      <c r="AS938" s="42"/>
      <c r="AT938" s="20"/>
      <c r="AU938" s="20"/>
      <c r="AV938" s="20"/>
      <c r="AW938" s="42"/>
      <c r="AX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42"/>
      <c r="AN939" s="20"/>
      <c r="AO939" s="20"/>
      <c r="AP939" s="42"/>
      <c r="AQ939" s="20"/>
      <c r="AR939" s="42"/>
      <c r="AS939" s="42"/>
      <c r="AT939" s="20"/>
      <c r="AU939" s="20"/>
      <c r="AV939" s="20"/>
      <c r="AW939" s="42"/>
      <c r="AX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42"/>
      <c r="AN940" s="20"/>
      <c r="AO940" s="20"/>
      <c r="AP940" s="42"/>
      <c r="AQ940" s="20"/>
      <c r="AR940" s="42"/>
      <c r="AS940" s="42"/>
      <c r="AT940" s="20"/>
      <c r="AU940" s="20"/>
      <c r="AV940" s="20"/>
      <c r="AW940" s="42"/>
      <c r="AX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42"/>
      <c r="AN941" s="20"/>
      <c r="AO941" s="20"/>
      <c r="AP941" s="42"/>
      <c r="AQ941" s="20"/>
      <c r="AR941" s="42"/>
      <c r="AS941" s="42"/>
      <c r="AT941" s="20"/>
      <c r="AU941" s="20"/>
      <c r="AV941" s="20"/>
      <c r="AW941" s="42"/>
      <c r="AX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42"/>
      <c r="AN942" s="20"/>
      <c r="AO942" s="20"/>
      <c r="AP942" s="42"/>
      <c r="AQ942" s="20"/>
      <c r="AR942" s="42"/>
      <c r="AS942" s="42"/>
      <c r="AT942" s="20"/>
      <c r="AU942" s="20"/>
      <c r="AV942" s="20"/>
      <c r="AW942" s="42"/>
      <c r="AX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42"/>
      <c r="AN943" s="20"/>
      <c r="AO943" s="20"/>
      <c r="AP943" s="42"/>
      <c r="AQ943" s="20"/>
      <c r="AR943" s="42"/>
      <c r="AS943" s="42"/>
      <c r="AT943" s="20"/>
      <c r="AU943" s="20"/>
      <c r="AV943" s="20"/>
      <c r="AW943" s="42"/>
      <c r="AX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42"/>
      <c r="AN944" s="20"/>
      <c r="AO944" s="20"/>
      <c r="AP944" s="42"/>
      <c r="AQ944" s="20"/>
      <c r="AR944" s="42"/>
      <c r="AS944" s="42"/>
      <c r="AT944" s="20"/>
      <c r="AU944" s="20"/>
      <c r="AV944" s="20"/>
      <c r="AW944" s="42"/>
      <c r="AX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42"/>
      <c r="AN945" s="20"/>
      <c r="AO945" s="20"/>
      <c r="AP945" s="42"/>
      <c r="AQ945" s="20"/>
      <c r="AR945" s="42"/>
      <c r="AS945" s="42"/>
      <c r="AT945" s="20"/>
      <c r="AU945" s="20"/>
      <c r="AV945" s="20"/>
      <c r="AW945" s="42"/>
      <c r="AX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42"/>
      <c r="AN946" s="20"/>
      <c r="AO946" s="20"/>
      <c r="AP946" s="42"/>
      <c r="AQ946" s="20"/>
      <c r="AR946" s="42"/>
      <c r="AS946" s="42"/>
      <c r="AT946" s="20"/>
      <c r="AU946" s="20"/>
      <c r="AV946" s="20"/>
      <c r="AW946" s="42"/>
      <c r="AX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42"/>
      <c r="AN947" s="20"/>
      <c r="AO947" s="20"/>
      <c r="AP947" s="42"/>
      <c r="AQ947" s="20"/>
      <c r="AR947" s="42"/>
      <c r="AS947" s="42"/>
      <c r="AT947" s="20"/>
      <c r="AU947" s="20"/>
      <c r="AV947" s="20"/>
      <c r="AW947" s="42"/>
      <c r="AX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42"/>
      <c r="AN948" s="20"/>
      <c r="AO948" s="20"/>
      <c r="AP948" s="42"/>
      <c r="AQ948" s="20"/>
      <c r="AR948" s="42"/>
      <c r="AS948" s="42"/>
      <c r="AT948" s="20"/>
      <c r="AU948" s="20"/>
      <c r="AV948" s="20"/>
      <c r="AW948" s="42"/>
      <c r="AX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42"/>
      <c r="AN949" s="20"/>
      <c r="AO949" s="20"/>
      <c r="AP949" s="42"/>
      <c r="AQ949" s="20"/>
      <c r="AR949" s="42"/>
      <c r="AS949" s="42"/>
      <c r="AT949" s="20"/>
      <c r="AU949" s="20"/>
      <c r="AV949" s="20"/>
      <c r="AW949" s="42"/>
      <c r="AX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42"/>
      <c r="AN950" s="20"/>
      <c r="AO950" s="20"/>
      <c r="AP950" s="42"/>
      <c r="AQ950" s="20"/>
      <c r="AR950" s="42"/>
      <c r="AS950" s="42"/>
      <c r="AT950" s="20"/>
      <c r="AU950" s="20"/>
      <c r="AV950" s="20"/>
      <c r="AW950" s="42"/>
      <c r="AX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42"/>
      <c r="AN951" s="20"/>
      <c r="AO951" s="20"/>
      <c r="AP951" s="42"/>
      <c r="AQ951" s="20"/>
      <c r="AR951" s="42"/>
      <c r="AS951" s="42"/>
      <c r="AT951" s="20"/>
      <c r="AU951" s="20"/>
      <c r="AV951" s="20"/>
      <c r="AW951" s="42"/>
      <c r="AX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42"/>
      <c r="AN952" s="20"/>
      <c r="AO952" s="20"/>
      <c r="AP952" s="42"/>
      <c r="AQ952" s="20"/>
      <c r="AR952" s="42"/>
      <c r="AS952" s="42"/>
      <c r="AT952" s="20"/>
      <c r="AU952" s="20"/>
      <c r="AV952" s="20"/>
      <c r="AW952" s="42"/>
      <c r="AX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42"/>
      <c r="AN953" s="20"/>
      <c r="AO953" s="20"/>
      <c r="AP953" s="42"/>
      <c r="AQ953" s="20"/>
      <c r="AR953" s="42"/>
      <c r="AS953" s="42"/>
      <c r="AT953" s="20"/>
      <c r="AU953" s="20"/>
      <c r="AV953" s="20"/>
      <c r="AW953" s="42"/>
      <c r="AX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42"/>
      <c r="AN954" s="20"/>
      <c r="AO954" s="20"/>
      <c r="AP954" s="42"/>
      <c r="AQ954" s="20"/>
      <c r="AR954" s="42"/>
      <c r="AS954" s="42"/>
      <c r="AT954" s="20"/>
      <c r="AU954" s="20"/>
      <c r="AV954" s="20"/>
      <c r="AW954" s="42"/>
      <c r="AX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42"/>
      <c r="AN955" s="20"/>
      <c r="AO955" s="20"/>
      <c r="AP955" s="42"/>
      <c r="AQ955" s="20"/>
      <c r="AR955" s="42"/>
      <c r="AS955" s="42"/>
      <c r="AT955" s="20"/>
      <c r="AU955" s="20"/>
      <c r="AV955" s="20"/>
      <c r="AW955" s="42"/>
      <c r="AX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42"/>
      <c r="AN956" s="20"/>
      <c r="AO956" s="20"/>
      <c r="AP956" s="42"/>
      <c r="AQ956" s="20"/>
      <c r="AR956" s="42"/>
      <c r="AS956" s="42"/>
      <c r="AT956" s="20"/>
      <c r="AU956" s="20"/>
      <c r="AV956" s="20"/>
      <c r="AW956" s="42"/>
      <c r="AX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42"/>
      <c r="AN957" s="20"/>
      <c r="AO957" s="20"/>
      <c r="AP957" s="42"/>
      <c r="AQ957" s="20"/>
      <c r="AR957" s="42"/>
      <c r="AS957" s="42"/>
      <c r="AT957" s="20"/>
      <c r="AU957" s="20"/>
      <c r="AV957" s="20"/>
      <c r="AW957" s="42"/>
      <c r="AX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42"/>
      <c r="AN958" s="20"/>
      <c r="AO958" s="20"/>
      <c r="AP958" s="42"/>
      <c r="AQ958" s="20"/>
      <c r="AR958" s="42"/>
      <c r="AS958" s="42"/>
      <c r="AT958" s="20"/>
      <c r="AU958" s="20"/>
      <c r="AV958" s="20"/>
      <c r="AW958" s="42"/>
      <c r="AX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42"/>
      <c r="AN959" s="20"/>
      <c r="AO959" s="20"/>
      <c r="AP959" s="42"/>
      <c r="AQ959" s="20"/>
      <c r="AR959" s="42"/>
      <c r="AS959" s="42"/>
      <c r="AT959" s="20"/>
      <c r="AU959" s="20"/>
      <c r="AV959" s="20"/>
      <c r="AW959" s="42"/>
      <c r="AX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42"/>
      <c r="AN960" s="20"/>
      <c r="AO960" s="20"/>
      <c r="AP960" s="42"/>
      <c r="AQ960" s="20"/>
      <c r="AR960" s="42"/>
      <c r="AS960" s="42"/>
      <c r="AT960" s="20"/>
      <c r="AU960" s="20"/>
      <c r="AV960" s="20"/>
      <c r="AW960" s="42"/>
      <c r="AX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42"/>
      <c r="AN961" s="20"/>
      <c r="AO961" s="20"/>
      <c r="AP961" s="42"/>
      <c r="AQ961" s="20"/>
      <c r="AR961" s="42"/>
      <c r="AS961" s="42"/>
      <c r="AT961" s="20"/>
      <c r="AU961" s="20"/>
      <c r="AV961" s="20"/>
      <c r="AW961" s="42"/>
      <c r="AX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42"/>
      <c r="AN962" s="20"/>
      <c r="AO962" s="20"/>
      <c r="AP962" s="42"/>
      <c r="AQ962" s="20"/>
      <c r="AR962" s="42"/>
      <c r="AS962" s="42"/>
      <c r="AT962" s="20"/>
      <c r="AU962" s="20"/>
      <c r="AV962" s="20"/>
      <c r="AW962" s="42"/>
      <c r="AX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42"/>
      <c r="AN963" s="20"/>
      <c r="AO963" s="20"/>
      <c r="AP963" s="42"/>
      <c r="AQ963" s="20"/>
      <c r="AR963" s="42"/>
      <c r="AS963" s="42"/>
      <c r="AT963" s="20"/>
      <c r="AU963" s="20"/>
      <c r="AV963" s="20"/>
      <c r="AW963" s="42"/>
      <c r="AX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42"/>
      <c r="AN964" s="20"/>
      <c r="AO964" s="20"/>
      <c r="AP964" s="42"/>
      <c r="AQ964" s="20"/>
      <c r="AR964" s="42"/>
      <c r="AS964" s="42"/>
      <c r="AT964" s="20"/>
      <c r="AU964" s="20"/>
      <c r="AV964" s="20"/>
      <c r="AW964" s="42"/>
      <c r="AX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42"/>
      <c r="AN965" s="20"/>
      <c r="AO965" s="20"/>
      <c r="AP965" s="42"/>
      <c r="AQ965" s="20"/>
      <c r="AR965" s="42"/>
      <c r="AS965" s="42"/>
      <c r="AT965" s="20"/>
      <c r="AU965" s="20"/>
      <c r="AV965" s="20"/>
      <c r="AW965" s="42"/>
      <c r="AX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42"/>
      <c r="AN966" s="20"/>
      <c r="AO966" s="20"/>
      <c r="AP966" s="42"/>
      <c r="AQ966" s="20"/>
      <c r="AR966" s="42"/>
      <c r="AS966" s="42"/>
      <c r="AT966" s="20"/>
      <c r="AU966" s="20"/>
      <c r="AV966" s="20"/>
      <c r="AW966" s="42"/>
      <c r="AX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42"/>
      <c r="AN967" s="20"/>
      <c r="AO967" s="20"/>
      <c r="AP967" s="42"/>
      <c r="AQ967" s="20"/>
      <c r="AR967" s="42"/>
      <c r="AS967" s="42"/>
      <c r="AT967" s="20"/>
      <c r="AU967" s="20"/>
      <c r="AV967" s="20"/>
      <c r="AW967" s="42"/>
      <c r="AX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42"/>
      <c r="AN968" s="20"/>
      <c r="AO968" s="20"/>
      <c r="AP968" s="42"/>
      <c r="AQ968" s="20"/>
      <c r="AR968" s="42"/>
      <c r="AS968" s="42"/>
      <c r="AT968" s="20"/>
      <c r="AU968" s="20"/>
      <c r="AV968" s="20"/>
      <c r="AW968" s="42"/>
      <c r="AX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42"/>
      <c r="AN969" s="20"/>
      <c r="AO969" s="20"/>
      <c r="AP969" s="42"/>
      <c r="AQ969" s="20"/>
      <c r="AR969" s="42"/>
      <c r="AS969" s="42"/>
      <c r="AT969" s="20"/>
      <c r="AU969" s="20"/>
      <c r="AV969" s="20"/>
      <c r="AW969" s="42"/>
      <c r="AX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42"/>
      <c r="AN970" s="20"/>
      <c r="AO970" s="20"/>
      <c r="AP970" s="42"/>
      <c r="AQ970" s="20"/>
      <c r="AR970" s="42"/>
      <c r="AS970" s="42"/>
      <c r="AT970" s="20"/>
      <c r="AU970" s="20"/>
      <c r="AV970" s="20"/>
      <c r="AW970" s="42"/>
      <c r="AX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42"/>
      <c r="AN971" s="20"/>
      <c r="AO971" s="20"/>
      <c r="AP971" s="42"/>
      <c r="AQ971" s="20"/>
      <c r="AR971" s="42"/>
      <c r="AS971" s="42"/>
      <c r="AT971" s="20"/>
      <c r="AU971" s="20"/>
      <c r="AV971" s="20"/>
      <c r="AW971" s="42"/>
      <c r="AX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42"/>
      <c r="AN972" s="20"/>
      <c r="AO972" s="20"/>
      <c r="AP972" s="42"/>
      <c r="AQ972" s="20"/>
      <c r="AR972" s="42"/>
      <c r="AS972" s="42"/>
      <c r="AT972" s="20"/>
      <c r="AU972" s="20"/>
      <c r="AV972" s="20"/>
      <c r="AW972" s="42"/>
      <c r="AX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42"/>
      <c r="AN973" s="20"/>
      <c r="AO973" s="20"/>
      <c r="AP973" s="42"/>
      <c r="AQ973" s="20"/>
      <c r="AR973" s="42"/>
      <c r="AS973" s="42"/>
      <c r="AT973" s="20"/>
      <c r="AU973" s="20"/>
      <c r="AV973" s="20"/>
      <c r="AW973" s="42"/>
      <c r="AX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42"/>
      <c r="AN974" s="20"/>
      <c r="AO974" s="20"/>
      <c r="AP974" s="42"/>
      <c r="AQ974" s="20"/>
      <c r="AR974" s="42"/>
      <c r="AS974" s="42"/>
      <c r="AT974" s="20"/>
      <c r="AU974" s="20"/>
      <c r="AV974" s="20"/>
      <c r="AW974" s="42"/>
      <c r="AX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42"/>
      <c r="AN975" s="20"/>
      <c r="AO975" s="20"/>
      <c r="AP975" s="42"/>
      <c r="AQ975" s="20"/>
      <c r="AR975" s="42"/>
      <c r="AS975" s="42"/>
      <c r="AT975" s="20"/>
      <c r="AU975" s="20"/>
      <c r="AV975" s="20"/>
      <c r="AW975" s="42"/>
      <c r="AX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42"/>
      <c r="AN976" s="20"/>
      <c r="AO976" s="20"/>
      <c r="AP976" s="42"/>
      <c r="AQ976" s="20"/>
      <c r="AR976" s="42"/>
      <c r="AS976" s="42"/>
      <c r="AT976" s="20"/>
      <c r="AU976" s="20"/>
      <c r="AV976" s="20"/>
      <c r="AW976" s="42"/>
      <c r="AX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42"/>
      <c r="AN977" s="20"/>
      <c r="AO977" s="20"/>
      <c r="AP977" s="42"/>
      <c r="AQ977" s="20"/>
      <c r="AR977" s="42"/>
      <c r="AS977" s="42"/>
      <c r="AT977" s="20"/>
      <c r="AU977" s="20"/>
      <c r="AV977" s="20"/>
      <c r="AW977" s="42"/>
      <c r="AX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42"/>
      <c r="AN978" s="20"/>
      <c r="AO978" s="20"/>
      <c r="AP978" s="42"/>
      <c r="AQ978" s="20"/>
      <c r="AR978" s="42"/>
      <c r="AS978" s="42"/>
      <c r="AT978" s="20"/>
      <c r="AU978" s="20"/>
      <c r="AV978" s="20"/>
      <c r="AW978" s="42"/>
      <c r="AX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42"/>
      <c r="AN979" s="20"/>
      <c r="AO979" s="20"/>
      <c r="AP979" s="42"/>
      <c r="AQ979" s="20"/>
      <c r="AR979" s="42"/>
      <c r="AS979" s="42"/>
      <c r="AT979" s="20"/>
      <c r="AU979" s="20"/>
      <c r="AV979" s="20"/>
      <c r="AW979" s="42"/>
      <c r="AX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42"/>
      <c r="AN980" s="20"/>
      <c r="AO980" s="20"/>
      <c r="AP980" s="42"/>
      <c r="AQ980" s="20"/>
      <c r="AR980" s="42"/>
      <c r="AS980" s="42"/>
      <c r="AT980" s="20"/>
      <c r="AU980" s="20"/>
      <c r="AV980" s="20"/>
      <c r="AW980" s="42"/>
      <c r="AX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42"/>
      <c r="AN981" s="20"/>
      <c r="AO981" s="20"/>
      <c r="AP981" s="42"/>
      <c r="AQ981" s="20"/>
      <c r="AR981" s="42"/>
      <c r="AS981" s="42"/>
      <c r="AT981" s="20"/>
      <c r="AU981" s="20"/>
      <c r="AV981" s="20"/>
      <c r="AW981" s="42"/>
      <c r="AX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42"/>
      <c r="AN982" s="20"/>
      <c r="AO982" s="20"/>
      <c r="AP982" s="42"/>
      <c r="AQ982" s="20"/>
      <c r="AR982" s="42"/>
      <c r="AS982" s="42"/>
      <c r="AT982" s="20"/>
      <c r="AU982" s="20"/>
      <c r="AV982" s="20"/>
      <c r="AW982" s="42"/>
      <c r="AX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42"/>
      <c r="AN983" s="20"/>
      <c r="AO983" s="20"/>
      <c r="AP983" s="42"/>
      <c r="AQ983" s="20"/>
      <c r="AR983" s="42"/>
      <c r="AS983" s="42"/>
      <c r="AT983" s="20"/>
      <c r="AU983" s="20"/>
      <c r="AV983" s="20"/>
      <c r="AW983" s="42"/>
      <c r="AX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42"/>
      <c r="AN984" s="20"/>
      <c r="AO984" s="20"/>
      <c r="AP984" s="42"/>
      <c r="AQ984" s="20"/>
      <c r="AR984" s="42"/>
      <c r="AS984" s="42"/>
      <c r="AT984" s="20"/>
      <c r="AU984" s="20"/>
      <c r="AV984" s="20"/>
      <c r="AW984" s="42"/>
      <c r="AX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42"/>
      <c r="AN985" s="20"/>
      <c r="AO985" s="20"/>
      <c r="AP985" s="42"/>
      <c r="AQ985" s="20"/>
      <c r="AR985" s="42"/>
      <c r="AS985" s="42"/>
      <c r="AT985" s="20"/>
      <c r="AU985" s="20"/>
      <c r="AV985" s="20"/>
      <c r="AW985" s="42"/>
      <c r="AX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42"/>
      <c r="AN986" s="20"/>
      <c r="AO986" s="20"/>
      <c r="AP986" s="42"/>
      <c r="AQ986" s="20"/>
      <c r="AR986" s="42"/>
      <c r="AS986" s="42"/>
      <c r="AT986" s="20"/>
      <c r="AU986" s="20"/>
      <c r="AV986" s="20"/>
      <c r="AW986" s="42"/>
      <c r="AX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42"/>
      <c r="AN987" s="20"/>
      <c r="AO987" s="20"/>
      <c r="AP987" s="42"/>
      <c r="AQ987" s="20"/>
      <c r="AR987" s="42"/>
      <c r="AS987" s="42"/>
      <c r="AT987" s="20"/>
      <c r="AU987" s="20"/>
      <c r="AV987" s="20"/>
      <c r="AW987" s="42"/>
      <c r="AX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42"/>
      <c r="AN988" s="20"/>
      <c r="AO988" s="20"/>
      <c r="AP988" s="42"/>
      <c r="AQ988" s="20"/>
      <c r="AR988" s="42"/>
      <c r="AS988" s="42"/>
      <c r="AT988" s="20"/>
      <c r="AU988" s="20"/>
      <c r="AV988" s="20"/>
      <c r="AW988" s="42"/>
      <c r="AX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42"/>
      <c r="AN989" s="20"/>
      <c r="AO989" s="20"/>
      <c r="AP989" s="42"/>
      <c r="AQ989" s="20"/>
      <c r="AR989" s="42"/>
      <c r="AS989" s="42"/>
      <c r="AT989" s="20"/>
      <c r="AU989" s="20"/>
      <c r="AV989" s="20"/>
      <c r="AW989" s="42"/>
      <c r="AX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42"/>
      <c r="AN990" s="20"/>
      <c r="AO990" s="20"/>
      <c r="AP990" s="42"/>
      <c r="AQ990" s="20"/>
      <c r="AR990" s="42"/>
      <c r="AS990" s="42"/>
      <c r="AT990" s="20"/>
      <c r="AU990" s="20"/>
      <c r="AV990" s="20"/>
      <c r="AW990" s="42"/>
      <c r="AX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42"/>
      <c r="AN991" s="20"/>
      <c r="AO991" s="20"/>
      <c r="AP991" s="42"/>
      <c r="AQ991" s="20"/>
      <c r="AR991" s="42"/>
      <c r="AS991" s="42"/>
      <c r="AT991" s="20"/>
      <c r="AU991" s="20"/>
      <c r="AV991" s="20"/>
      <c r="AW991" s="42"/>
      <c r="AX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42"/>
      <c r="AN992" s="20"/>
      <c r="AO992" s="20"/>
      <c r="AP992" s="42"/>
      <c r="AQ992" s="20"/>
      <c r="AR992" s="42"/>
      <c r="AS992" s="42"/>
      <c r="AT992" s="20"/>
      <c r="AU992" s="20"/>
      <c r="AV992" s="20"/>
      <c r="AW992" s="42"/>
      <c r="AX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42"/>
      <c r="AN993" s="20"/>
      <c r="AO993" s="20"/>
      <c r="AP993" s="42"/>
      <c r="AQ993" s="20"/>
      <c r="AR993" s="42"/>
      <c r="AS993" s="42"/>
      <c r="AT993" s="20"/>
      <c r="AU993" s="20"/>
      <c r="AV993" s="20"/>
      <c r="AW993" s="42"/>
      <c r="AX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42"/>
      <c r="AN994" s="20"/>
      <c r="AO994" s="20"/>
      <c r="AP994" s="42"/>
      <c r="AQ994" s="20"/>
      <c r="AR994" s="42"/>
      <c r="AS994" s="42"/>
      <c r="AT994" s="20"/>
      <c r="AU994" s="20"/>
      <c r="AV994" s="20"/>
      <c r="AW994" s="42"/>
      <c r="AX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42"/>
      <c r="AN995" s="20"/>
      <c r="AO995" s="20"/>
      <c r="AP995" s="42"/>
      <c r="AQ995" s="20"/>
      <c r="AR995" s="42"/>
      <c r="AS995" s="42"/>
      <c r="AT995" s="20"/>
      <c r="AU995" s="20"/>
      <c r="AV995" s="20"/>
      <c r="AW995" s="42"/>
      <c r="AX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42"/>
      <c r="AN996" s="20"/>
      <c r="AO996" s="20"/>
      <c r="AP996" s="42"/>
      <c r="AQ996" s="20"/>
      <c r="AR996" s="42"/>
      <c r="AS996" s="42"/>
      <c r="AT996" s="20"/>
      <c r="AU996" s="20"/>
      <c r="AV996" s="20"/>
      <c r="AW996" s="42"/>
      <c r="AX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42"/>
      <c r="AN997" s="20"/>
      <c r="AO997" s="20"/>
      <c r="AP997" s="42"/>
      <c r="AQ997" s="20"/>
      <c r="AR997" s="42"/>
      <c r="AS997" s="42"/>
      <c r="AT997" s="20"/>
      <c r="AU997" s="20"/>
      <c r="AV997" s="20"/>
      <c r="AW997" s="42"/>
      <c r="AX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42"/>
      <c r="AN998" s="20"/>
      <c r="AO998" s="20"/>
      <c r="AP998" s="42"/>
      <c r="AQ998" s="20"/>
      <c r="AR998" s="42"/>
      <c r="AS998" s="42"/>
      <c r="AT998" s="20"/>
      <c r="AU998" s="20"/>
      <c r="AV998" s="20"/>
      <c r="AW998" s="42"/>
      <c r="AX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42"/>
      <c r="AN999" s="20"/>
      <c r="AO999" s="20"/>
      <c r="AP999" s="42"/>
      <c r="AQ999" s="20"/>
      <c r="AR999" s="42"/>
      <c r="AS999" s="42"/>
      <c r="AT999" s="20"/>
      <c r="AU999" s="20"/>
      <c r="AV999" s="20"/>
      <c r="AW999" s="42"/>
      <c r="AX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42"/>
      <c r="AN1000" s="20"/>
      <c r="AO1000" s="20"/>
      <c r="AP1000" s="42"/>
      <c r="AQ1000" s="20"/>
      <c r="AR1000" s="42"/>
      <c r="AS1000" s="42"/>
      <c r="AT1000" s="20"/>
      <c r="AU1000" s="20"/>
      <c r="AV1000" s="20"/>
      <c r="AW1000" s="42"/>
      <c r="AX1000" s="20"/>
    </row>
    <row r="100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42"/>
      <c r="AN1001" s="20"/>
      <c r="AO1001" s="20"/>
      <c r="AP1001" s="42"/>
      <c r="AQ1001" s="20"/>
      <c r="AR1001" s="42"/>
      <c r="AS1001" s="42"/>
      <c r="AT1001" s="20"/>
      <c r="AU1001" s="20"/>
      <c r="AV1001" s="20"/>
      <c r="AW1001" s="42"/>
      <c r="AX1001" s="20"/>
    </row>
    <row r="1002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42"/>
      <c r="AN1002" s="20"/>
      <c r="AO1002" s="20"/>
      <c r="AP1002" s="42"/>
      <c r="AQ1002" s="20"/>
      <c r="AR1002" s="42"/>
      <c r="AS1002" s="42"/>
      <c r="AT1002" s="20"/>
      <c r="AU1002" s="20"/>
      <c r="AV1002" s="20"/>
      <c r="AW1002" s="42"/>
      <c r="AX1002" s="20"/>
    </row>
  </sheetData>
  <mergeCells count="3">
    <mergeCell ref="A2:A9"/>
    <mergeCell ref="A49:A51"/>
    <mergeCell ref="A101:A11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.25"/>
    <col customWidth="1" min="2" max="2" width="18.38"/>
    <col customWidth="1" min="11" max="11" width="13.75"/>
  </cols>
  <sheetData>
    <row r="1">
      <c r="A1" s="20"/>
      <c r="B1" s="2" t="s">
        <v>0</v>
      </c>
      <c r="C1" s="2" t="s">
        <v>1</v>
      </c>
      <c r="D1" s="3">
        <v>44358.0</v>
      </c>
      <c r="E1" s="4">
        <v>44365.0</v>
      </c>
      <c r="F1" s="4">
        <v>44372.0</v>
      </c>
      <c r="G1" s="4">
        <v>44386.0</v>
      </c>
      <c r="H1" s="4">
        <v>44401.0</v>
      </c>
      <c r="I1" s="4">
        <v>44407.0</v>
      </c>
      <c r="J1" s="138">
        <v>44421.0</v>
      </c>
      <c r="K1" s="138">
        <v>44428.0</v>
      </c>
      <c r="L1" s="138">
        <v>44435.0</v>
      </c>
      <c r="M1" s="138">
        <v>44449.0</v>
      </c>
      <c r="N1" s="157">
        <v>44456.0</v>
      </c>
      <c r="O1" s="157">
        <v>44463.0</v>
      </c>
      <c r="P1" s="157">
        <v>44470.0</v>
      </c>
      <c r="Q1" s="157">
        <v>44477.0</v>
      </c>
      <c r="R1" s="157">
        <v>44484.0</v>
      </c>
      <c r="S1" s="157">
        <v>44491.0</v>
      </c>
      <c r="T1" s="157">
        <v>44498.0</v>
      </c>
      <c r="U1" s="157">
        <v>44512.0</v>
      </c>
      <c r="V1" s="157">
        <v>44533.0</v>
      </c>
      <c r="W1" s="157">
        <v>44540.0</v>
      </c>
      <c r="X1" s="157">
        <v>44547.0</v>
      </c>
      <c r="Y1" s="20"/>
      <c r="Z1" s="20"/>
      <c r="AA1" s="20"/>
    </row>
    <row r="2">
      <c r="A2" s="140"/>
      <c r="B2" s="16" t="s">
        <v>230</v>
      </c>
      <c r="C2" s="16" t="s">
        <v>2</v>
      </c>
      <c r="D2" s="20"/>
      <c r="E2" s="16" t="s">
        <v>118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>
      <c r="B3" s="16" t="s">
        <v>231</v>
      </c>
      <c r="C3" s="16" t="s">
        <v>2</v>
      </c>
      <c r="D3" s="16" t="s">
        <v>118</v>
      </c>
      <c r="E3" s="16" t="s">
        <v>118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>
      <c r="B4" s="16" t="s">
        <v>114</v>
      </c>
      <c r="C4" s="16" t="s">
        <v>2</v>
      </c>
      <c r="D4" s="16" t="s">
        <v>118</v>
      </c>
      <c r="E4" s="16" t="s">
        <v>118</v>
      </c>
      <c r="F4" s="16" t="s">
        <v>118</v>
      </c>
      <c r="G4" s="16" t="s">
        <v>4</v>
      </c>
      <c r="H4" s="20"/>
      <c r="I4" s="20"/>
      <c r="J4" s="16" t="s">
        <v>4</v>
      </c>
      <c r="K4" s="20"/>
      <c r="L4" s="16" t="s">
        <v>118</v>
      </c>
      <c r="M4" s="20"/>
      <c r="N4" s="16" t="s">
        <v>4</v>
      </c>
      <c r="O4" s="16" t="s">
        <v>4</v>
      </c>
      <c r="P4" s="20"/>
      <c r="Q4" s="20"/>
      <c r="R4" s="16" t="s">
        <v>4</v>
      </c>
      <c r="S4" s="20"/>
      <c r="T4" s="20"/>
      <c r="U4" s="20"/>
      <c r="V4" s="16" t="s">
        <v>4</v>
      </c>
      <c r="W4" s="20"/>
      <c r="X4" s="16" t="s">
        <v>4</v>
      </c>
      <c r="Y4" s="20"/>
      <c r="Z4" s="20"/>
      <c r="AA4" s="20"/>
    </row>
    <row r="5">
      <c r="B5" s="16" t="s">
        <v>232</v>
      </c>
      <c r="C5" s="16" t="s">
        <v>2</v>
      </c>
      <c r="D5" s="16" t="s">
        <v>118</v>
      </c>
      <c r="E5" s="16" t="s">
        <v>118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>
      <c r="B6" s="16" t="s">
        <v>3</v>
      </c>
      <c r="C6" s="16" t="s">
        <v>2</v>
      </c>
      <c r="D6" s="20"/>
      <c r="E6" s="16" t="s">
        <v>118</v>
      </c>
      <c r="F6" s="16" t="s">
        <v>118</v>
      </c>
      <c r="G6" s="20"/>
      <c r="H6" s="16" t="s">
        <v>4</v>
      </c>
      <c r="I6" s="16" t="s">
        <v>118</v>
      </c>
      <c r="J6" s="16" t="s">
        <v>4</v>
      </c>
      <c r="K6" s="16" t="s">
        <v>4</v>
      </c>
      <c r="L6" s="20"/>
      <c r="M6" s="20"/>
      <c r="N6" s="16" t="s">
        <v>4</v>
      </c>
      <c r="O6" s="16" t="s">
        <v>4</v>
      </c>
      <c r="P6" s="20"/>
      <c r="Q6" s="16" t="s">
        <v>4</v>
      </c>
      <c r="R6" s="16" t="s">
        <v>4</v>
      </c>
      <c r="S6" s="16" t="s">
        <v>4</v>
      </c>
      <c r="T6" s="16" t="s">
        <v>4</v>
      </c>
      <c r="U6" s="16" t="s">
        <v>4</v>
      </c>
      <c r="V6" s="16" t="s">
        <v>4</v>
      </c>
      <c r="W6" s="20"/>
      <c r="X6" s="16" t="s">
        <v>4</v>
      </c>
      <c r="Y6" s="20"/>
      <c r="Z6" s="20"/>
      <c r="AA6" s="20"/>
    </row>
    <row r="7">
      <c r="B7" s="16" t="s">
        <v>7</v>
      </c>
      <c r="C7" s="16" t="s">
        <v>2</v>
      </c>
      <c r="D7" s="16" t="s">
        <v>118</v>
      </c>
      <c r="E7" s="16" t="s">
        <v>118</v>
      </c>
      <c r="F7" s="16" t="s">
        <v>118</v>
      </c>
      <c r="G7" s="20"/>
      <c r="H7" s="16" t="s">
        <v>4</v>
      </c>
      <c r="I7" s="16" t="s">
        <v>118</v>
      </c>
      <c r="J7" s="16" t="s">
        <v>4</v>
      </c>
      <c r="K7" s="20"/>
      <c r="L7" s="20"/>
      <c r="M7" s="20"/>
      <c r="N7" s="16" t="s">
        <v>4</v>
      </c>
      <c r="O7" s="16" t="s">
        <v>4</v>
      </c>
      <c r="P7" s="20"/>
      <c r="Q7" s="20"/>
      <c r="R7" s="16" t="s">
        <v>4</v>
      </c>
      <c r="S7" s="16" t="s">
        <v>4</v>
      </c>
      <c r="T7" s="16" t="s">
        <v>4</v>
      </c>
      <c r="U7" s="16" t="s">
        <v>4</v>
      </c>
      <c r="V7" s="16" t="s">
        <v>4</v>
      </c>
      <c r="W7" s="20"/>
      <c r="X7" s="16" t="s">
        <v>4</v>
      </c>
      <c r="Y7" s="20"/>
      <c r="Z7" s="20"/>
      <c r="AA7" s="20"/>
    </row>
    <row r="8">
      <c r="B8" s="16" t="s">
        <v>8</v>
      </c>
      <c r="C8" s="16" t="s">
        <v>2</v>
      </c>
      <c r="D8" s="16" t="s">
        <v>118</v>
      </c>
      <c r="E8" s="20"/>
      <c r="F8" s="16" t="s">
        <v>118</v>
      </c>
      <c r="G8" s="16" t="s">
        <v>4</v>
      </c>
      <c r="H8" s="16" t="s">
        <v>4</v>
      </c>
      <c r="I8" s="16" t="s">
        <v>118</v>
      </c>
      <c r="J8" s="20"/>
      <c r="K8" s="16" t="s">
        <v>4</v>
      </c>
      <c r="L8" s="20"/>
      <c r="M8" s="16" t="s">
        <v>4</v>
      </c>
      <c r="N8" s="20"/>
      <c r="O8" s="20"/>
      <c r="P8" s="16" t="s">
        <v>4</v>
      </c>
      <c r="Q8" s="16" t="s">
        <v>4</v>
      </c>
      <c r="R8" s="16" t="s">
        <v>4</v>
      </c>
      <c r="S8" s="16" t="s">
        <v>4</v>
      </c>
      <c r="T8" s="16" t="s">
        <v>4</v>
      </c>
      <c r="U8" s="16" t="s">
        <v>4</v>
      </c>
      <c r="V8" s="20"/>
      <c r="W8" s="20"/>
      <c r="X8" s="16" t="s">
        <v>4</v>
      </c>
      <c r="Y8" s="20"/>
      <c r="Z8" s="20"/>
      <c r="AA8" s="20"/>
    </row>
    <row r="9">
      <c r="B9" s="16" t="s">
        <v>116</v>
      </c>
      <c r="C9" s="16" t="s">
        <v>2</v>
      </c>
      <c r="D9" s="16" t="s">
        <v>118</v>
      </c>
      <c r="E9" s="16" t="s">
        <v>118</v>
      </c>
      <c r="F9" s="16" t="s">
        <v>118</v>
      </c>
      <c r="G9" s="16" t="s">
        <v>4</v>
      </c>
      <c r="H9" s="16" t="s">
        <v>4</v>
      </c>
      <c r="I9" s="20"/>
      <c r="J9" s="16" t="s">
        <v>4</v>
      </c>
      <c r="K9" s="16" t="s">
        <v>4</v>
      </c>
      <c r="L9" s="16" t="s">
        <v>118</v>
      </c>
      <c r="M9" s="16" t="s">
        <v>4</v>
      </c>
      <c r="N9" s="16" t="s">
        <v>4</v>
      </c>
      <c r="O9" s="16" t="s">
        <v>4</v>
      </c>
      <c r="P9" s="16" t="s">
        <v>4</v>
      </c>
      <c r="Q9" s="16" t="s">
        <v>4</v>
      </c>
      <c r="R9" s="16" t="s">
        <v>4</v>
      </c>
      <c r="S9" s="16" t="s">
        <v>4</v>
      </c>
      <c r="T9" s="16" t="s">
        <v>4</v>
      </c>
      <c r="U9" s="16" t="s">
        <v>4</v>
      </c>
      <c r="V9" s="20"/>
      <c r="W9" s="16" t="s">
        <v>4</v>
      </c>
      <c r="X9" s="16" t="s">
        <v>4</v>
      </c>
      <c r="Y9" s="20"/>
      <c r="Z9" s="20"/>
      <c r="AA9" s="20"/>
    </row>
    <row r="10">
      <c r="B10" s="16" t="s">
        <v>10</v>
      </c>
      <c r="C10" s="16" t="s">
        <v>2</v>
      </c>
      <c r="D10" s="16" t="s">
        <v>118</v>
      </c>
      <c r="E10" s="16" t="s">
        <v>118</v>
      </c>
      <c r="F10" s="16" t="s">
        <v>118</v>
      </c>
      <c r="G10" s="16" t="s">
        <v>4</v>
      </c>
      <c r="H10" s="16" t="s">
        <v>4</v>
      </c>
      <c r="I10" s="20"/>
      <c r="J10" s="16" t="s">
        <v>4</v>
      </c>
      <c r="K10" s="16" t="s">
        <v>4</v>
      </c>
      <c r="L10" s="16" t="s">
        <v>118</v>
      </c>
      <c r="M10" s="20"/>
      <c r="N10" s="16" t="s">
        <v>4</v>
      </c>
      <c r="O10" s="16" t="s">
        <v>4</v>
      </c>
      <c r="P10" s="16" t="s">
        <v>4</v>
      </c>
      <c r="Q10" s="16" t="s">
        <v>4</v>
      </c>
      <c r="R10" s="16" t="s">
        <v>4</v>
      </c>
      <c r="S10" s="16" t="s">
        <v>4</v>
      </c>
      <c r="T10" s="16" t="s">
        <v>4</v>
      </c>
      <c r="U10" s="16" t="s">
        <v>4</v>
      </c>
      <c r="V10" s="20"/>
      <c r="W10" s="16" t="s">
        <v>4</v>
      </c>
      <c r="X10" s="16" t="s">
        <v>4</v>
      </c>
      <c r="Y10" s="20"/>
      <c r="Z10" s="20"/>
      <c r="AA10" s="20"/>
    </row>
    <row r="11">
      <c r="B11" s="16" t="s">
        <v>11</v>
      </c>
      <c r="C11" s="16" t="s">
        <v>2</v>
      </c>
      <c r="D11" s="16" t="s">
        <v>118</v>
      </c>
      <c r="E11" s="16" t="s">
        <v>118</v>
      </c>
      <c r="F11" s="16" t="s">
        <v>118</v>
      </c>
      <c r="G11" s="20"/>
      <c r="H11" s="16" t="s">
        <v>4</v>
      </c>
      <c r="I11" s="16" t="s">
        <v>118</v>
      </c>
      <c r="J11" s="20"/>
      <c r="K11" s="16" t="s">
        <v>4</v>
      </c>
      <c r="L11" s="20"/>
      <c r="M11" s="16" t="s">
        <v>4</v>
      </c>
      <c r="N11" s="16" t="s">
        <v>4</v>
      </c>
      <c r="O11" s="20"/>
      <c r="P11" s="16" t="s">
        <v>4</v>
      </c>
      <c r="Q11" s="20"/>
      <c r="R11" s="16" t="s">
        <v>4</v>
      </c>
      <c r="S11" s="16" t="s">
        <v>4</v>
      </c>
      <c r="T11" s="16" t="s">
        <v>4</v>
      </c>
      <c r="U11" s="16" t="s">
        <v>4</v>
      </c>
      <c r="V11" s="20"/>
      <c r="W11" s="16" t="s">
        <v>4</v>
      </c>
      <c r="X11" s="20"/>
      <c r="Y11" s="20"/>
      <c r="Z11" s="20"/>
      <c r="AA11" s="20"/>
    </row>
    <row r="12">
      <c r="B12" s="16" t="s">
        <v>12</v>
      </c>
      <c r="C12" s="16" t="s">
        <v>2</v>
      </c>
      <c r="D12" s="16" t="s">
        <v>118</v>
      </c>
      <c r="E12" s="16" t="s">
        <v>118</v>
      </c>
      <c r="F12" s="16" t="s">
        <v>118</v>
      </c>
      <c r="G12" s="20"/>
      <c r="H12" s="16" t="s">
        <v>4</v>
      </c>
      <c r="I12" s="16" t="s">
        <v>118</v>
      </c>
      <c r="J12" s="16" t="s">
        <v>4</v>
      </c>
      <c r="K12" s="16" t="s">
        <v>4</v>
      </c>
      <c r="L12" s="16" t="s">
        <v>118</v>
      </c>
      <c r="M12" s="16" t="s">
        <v>4</v>
      </c>
      <c r="N12" s="16" t="s">
        <v>4</v>
      </c>
      <c r="O12" s="20"/>
      <c r="P12" s="16" t="s">
        <v>4</v>
      </c>
      <c r="Q12" s="20"/>
      <c r="R12" s="16" t="s">
        <v>4</v>
      </c>
      <c r="S12" s="16" t="s">
        <v>4</v>
      </c>
      <c r="T12" s="16" t="s">
        <v>4</v>
      </c>
      <c r="U12" s="16" t="s">
        <v>4</v>
      </c>
      <c r="V12" s="16" t="s">
        <v>4</v>
      </c>
      <c r="W12" s="16" t="s">
        <v>4</v>
      </c>
      <c r="X12" s="20"/>
      <c r="Y12" s="20"/>
      <c r="Z12" s="20"/>
      <c r="AA12" s="20"/>
    </row>
    <row r="13">
      <c r="A13" s="109"/>
      <c r="B13" s="19" t="s">
        <v>138</v>
      </c>
      <c r="C13" s="16" t="s">
        <v>2</v>
      </c>
      <c r="D13" s="16" t="s">
        <v>118</v>
      </c>
      <c r="E13" s="16" t="s">
        <v>118</v>
      </c>
      <c r="F13" s="16" t="s">
        <v>118</v>
      </c>
      <c r="G13" s="16" t="s">
        <v>4</v>
      </c>
      <c r="H13" s="16" t="s">
        <v>4</v>
      </c>
      <c r="I13" s="16" t="s">
        <v>118</v>
      </c>
      <c r="J13" s="16" t="s">
        <v>4</v>
      </c>
      <c r="K13" s="16" t="s">
        <v>4</v>
      </c>
      <c r="L13" s="16" t="s">
        <v>118</v>
      </c>
      <c r="M13" s="16" t="s">
        <v>4</v>
      </c>
      <c r="N13" s="16" t="s">
        <v>4</v>
      </c>
      <c r="O13" s="16" t="s">
        <v>4</v>
      </c>
      <c r="P13" s="16" t="s">
        <v>4</v>
      </c>
      <c r="Q13" s="16" t="s">
        <v>4</v>
      </c>
      <c r="R13" s="16" t="s">
        <v>4</v>
      </c>
      <c r="S13" s="16" t="s">
        <v>4</v>
      </c>
      <c r="T13" s="16" t="s">
        <v>4</v>
      </c>
      <c r="U13" s="16" t="s">
        <v>4</v>
      </c>
      <c r="V13" s="16" t="s">
        <v>4</v>
      </c>
      <c r="W13" s="16" t="s">
        <v>4</v>
      </c>
      <c r="X13" s="16" t="s">
        <v>4</v>
      </c>
      <c r="Y13" s="20"/>
      <c r="Z13" s="20"/>
      <c r="AA13" s="20"/>
    </row>
    <row r="14">
      <c r="A14" s="109"/>
      <c r="B14" s="19" t="s">
        <v>221</v>
      </c>
      <c r="C14" s="16" t="s">
        <v>2</v>
      </c>
      <c r="D14" s="16" t="s">
        <v>118</v>
      </c>
      <c r="E14" s="20"/>
      <c r="F14" s="16" t="s">
        <v>118</v>
      </c>
      <c r="G14" s="16" t="s">
        <v>4</v>
      </c>
      <c r="H14" s="16" t="s">
        <v>4</v>
      </c>
      <c r="I14" s="16" t="s">
        <v>118</v>
      </c>
      <c r="J14" s="16" t="s">
        <v>4</v>
      </c>
      <c r="K14" s="20"/>
      <c r="L14" s="20"/>
      <c r="M14" s="20"/>
      <c r="N14" s="16" t="s">
        <v>4</v>
      </c>
      <c r="O14" s="16" t="s">
        <v>4</v>
      </c>
      <c r="P14" s="20"/>
      <c r="Q14" s="16" t="s">
        <v>4</v>
      </c>
      <c r="R14" s="16" t="s">
        <v>4</v>
      </c>
      <c r="S14" s="20"/>
      <c r="T14" s="20"/>
      <c r="U14" s="16" t="s">
        <v>4</v>
      </c>
      <c r="V14" s="16" t="s">
        <v>4</v>
      </c>
      <c r="W14" s="16" t="s">
        <v>4</v>
      </c>
      <c r="X14" s="16" t="s">
        <v>4</v>
      </c>
      <c r="Y14" s="20"/>
      <c r="Z14" s="20"/>
      <c r="AA14" s="20"/>
    </row>
    <row r="15">
      <c r="A15" s="109"/>
      <c r="B15" s="19" t="s">
        <v>139</v>
      </c>
      <c r="C15" s="16" t="s">
        <v>2</v>
      </c>
      <c r="D15" s="20"/>
      <c r="E15" s="16" t="s">
        <v>118</v>
      </c>
      <c r="F15" s="20"/>
      <c r="G15" s="16" t="s">
        <v>4</v>
      </c>
      <c r="H15" s="16" t="s">
        <v>4</v>
      </c>
      <c r="I15" s="16" t="s">
        <v>118</v>
      </c>
      <c r="J15" s="16" t="s">
        <v>4</v>
      </c>
      <c r="K15" s="16" t="s">
        <v>4</v>
      </c>
      <c r="L15" s="16" t="s">
        <v>118</v>
      </c>
      <c r="M15" s="16" t="s">
        <v>4</v>
      </c>
      <c r="N15" s="16" t="s">
        <v>4</v>
      </c>
      <c r="O15" s="20"/>
      <c r="P15" s="20"/>
      <c r="Q15" s="16" t="s">
        <v>4</v>
      </c>
      <c r="R15" s="16" t="s">
        <v>4</v>
      </c>
      <c r="S15" s="16" t="s">
        <v>4</v>
      </c>
      <c r="T15" s="16" t="s">
        <v>4</v>
      </c>
      <c r="U15" s="16" t="s">
        <v>4</v>
      </c>
      <c r="V15" s="20"/>
      <c r="W15" s="20"/>
      <c r="X15" s="16" t="s">
        <v>4</v>
      </c>
      <c r="Y15" s="20"/>
      <c r="Z15" s="20"/>
      <c r="AA15" s="20"/>
    </row>
    <row r="16">
      <c r="A16" s="109"/>
      <c r="B16" s="19" t="s">
        <v>140</v>
      </c>
      <c r="C16" s="16" t="s">
        <v>2</v>
      </c>
      <c r="D16" s="20"/>
      <c r="E16" s="16" t="s">
        <v>118</v>
      </c>
      <c r="F16" s="20"/>
      <c r="G16" s="16" t="s">
        <v>4</v>
      </c>
      <c r="H16" s="16" t="s">
        <v>4</v>
      </c>
      <c r="I16" s="16" t="s">
        <v>118</v>
      </c>
      <c r="J16" s="16" t="s">
        <v>4</v>
      </c>
      <c r="K16" s="16" t="s">
        <v>4</v>
      </c>
      <c r="L16" s="16" t="s">
        <v>118</v>
      </c>
      <c r="M16" s="16" t="s">
        <v>4</v>
      </c>
      <c r="N16" s="16" t="s">
        <v>4</v>
      </c>
      <c r="O16" s="20"/>
      <c r="P16" s="20"/>
      <c r="Q16" s="16" t="s">
        <v>4</v>
      </c>
      <c r="R16" s="16" t="s">
        <v>4</v>
      </c>
      <c r="S16" s="16" t="s">
        <v>4</v>
      </c>
      <c r="T16" s="20"/>
      <c r="U16" s="16" t="s">
        <v>4</v>
      </c>
      <c r="V16" s="20"/>
      <c r="W16" s="20"/>
      <c r="X16" s="16" t="s">
        <v>4</v>
      </c>
      <c r="Y16" s="20"/>
      <c r="Z16" s="20"/>
      <c r="AA16" s="20"/>
    </row>
    <row r="17">
      <c r="A17" s="109"/>
      <c r="B17" s="19" t="s">
        <v>17</v>
      </c>
      <c r="C17" s="16" t="s">
        <v>2</v>
      </c>
      <c r="D17" s="20"/>
      <c r="E17" s="20"/>
      <c r="F17" s="20"/>
      <c r="G17" s="20"/>
      <c r="H17" s="16" t="s">
        <v>4</v>
      </c>
      <c r="I17" s="16" t="s">
        <v>118</v>
      </c>
      <c r="J17" s="16" t="s">
        <v>4</v>
      </c>
      <c r="K17" s="20"/>
      <c r="L17" s="16" t="s">
        <v>118</v>
      </c>
      <c r="M17" s="20"/>
      <c r="N17" s="20"/>
      <c r="O17" s="20"/>
      <c r="P17" s="20"/>
      <c r="Q17" s="20"/>
      <c r="R17" s="20"/>
      <c r="S17" s="20"/>
      <c r="T17" s="20"/>
      <c r="U17" s="20"/>
      <c r="V17" s="16" t="s">
        <v>4</v>
      </c>
      <c r="W17" s="16" t="s">
        <v>4</v>
      </c>
      <c r="X17" s="16" t="s">
        <v>4</v>
      </c>
      <c r="Y17" s="20"/>
      <c r="Z17" s="20"/>
      <c r="AA17" s="20"/>
    </row>
    <row r="18">
      <c r="A18" s="109"/>
      <c r="B18" s="19" t="s">
        <v>101</v>
      </c>
      <c r="C18" s="16" t="s">
        <v>2</v>
      </c>
      <c r="D18" s="20"/>
      <c r="E18" s="20"/>
      <c r="F18" s="16" t="s">
        <v>118</v>
      </c>
      <c r="G18" s="20"/>
      <c r="H18" s="16" t="s">
        <v>4</v>
      </c>
      <c r="I18" s="20"/>
      <c r="J18" s="16" t="s">
        <v>4</v>
      </c>
      <c r="K18" s="20"/>
      <c r="L18" s="16" t="s">
        <v>118</v>
      </c>
      <c r="M18" s="16" t="s">
        <v>4</v>
      </c>
      <c r="N18" s="20"/>
      <c r="O18" s="16" t="s">
        <v>4</v>
      </c>
      <c r="P18" s="20"/>
      <c r="Q18" s="20"/>
      <c r="R18" s="16" t="s">
        <v>4</v>
      </c>
      <c r="S18" s="16" t="s">
        <v>4</v>
      </c>
      <c r="T18" s="20"/>
      <c r="U18" s="16" t="s">
        <v>4</v>
      </c>
      <c r="V18" s="20"/>
      <c r="W18" s="20"/>
      <c r="X18" s="20"/>
      <c r="Y18" s="20"/>
      <c r="Z18" s="20"/>
      <c r="AA18" s="20"/>
    </row>
    <row r="19">
      <c r="A19" s="109"/>
      <c r="B19" s="19" t="s">
        <v>102</v>
      </c>
      <c r="C19" s="16" t="s">
        <v>2</v>
      </c>
      <c r="D19" s="20"/>
      <c r="E19" s="20"/>
      <c r="F19" s="16" t="s">
        <v>118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16" t="s">
        <v>4</v>
      </c>
      <c r="V19" s="20"/>
      <c r="W19" s="20"/>
      <c r="X19" s="20"/>
      <c r="Y19" s="20"/>
      <c r="Z19" s="20"/>
      <c r="AA19" s="20"/>
    </row>
    <row r="20">
      <c r="A20" s="141"/>
      <c r="B20" s="19" t="s">
        <v>117</v>
      </c>
      <c r="C20" s="16" t="s">
        <v>2</v>
      </c>
      <c r="D20" s="16" t="s">
        <v>118</v>
      </c>
      <c r="E20" s="16" t="s">
        <v>118</v>
      </c>
      <c r="F20" s="16" t="s">
        <v>118</v>
      </c>
      <c r="G20" s="16" t="s">
        <v>4</v>
      </c>
      <c r="H20" s="20"/>
      <c r="I20" s="20"/>
      <c r="J20" s="16" t="s">
        <v>4</v>
      </c>
      <c r="K20" s="16" t="s">
        <v>4</v>
      </c>
      <c r="L20" s="16" t="s">
        <v>118</v>
      </c>
      <c r="M20" s="16" t="s">
        <v>4</v>
      </c>
      <c r="N20" s="20"/>
      <c r="O20" s="16" t="s">
        <v>4</v>
      </c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>
      <c r="A21" s="109"/>
      <c r="B21" s="19" t="s">
        <v>233</v>
      </c>
      <c r="C21" s="16" t="s">
        <v>2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>
      <c r="A22" s="109"/>
      <c r="B22" s="19" t="s">
        <v>234</v>
      </c>
      <c r="C22" s="16" t="s">
        <v>2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>
      <c r="A23" s="109"/>
      <c r="B23" s="19" t="s">
        <v>235</v>
      </c>
      <c r="C23" s="16" t="s">
        <v>2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>
      <c r="A24" s="109"/>
      <c r="B24" s="19" t="s">
        <v>141</v>
      </c>
      <c r="C24" s="16" t="s">
        <v>2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>
      <c r="A25" s="109"/>
      <c r="B25" s="19" t="s">
        <v>103</v>
      </c>
      <c r="C25" s="16" t="s">
        <v>2</v>
      </c>
      <c r="D25" s="16" t="s">
        <v>118</v>
      </c>
      <c r="E25" s="20"/>
      <c r="F25" s="16" t="s">
        <v>118</v>
      </c>
      <c r="G25" s="20"/>
      <c r="H25" s="20"/>
      <c r="I25" s="20"/>
      <c r="J25" s="16" t="s">
        <v>4</v>
      </c>
      <c r="K25" s="16" t="s">
        <v>4</v>
      </c>
      <c r="L25" s="20"/>
      <c r="M25" s="20"/>
      <c r="N25" s="20"/>
      <c r="O25" s="20"/>
      <c r="P25" s="20"/>
      <c r="Q25" s="16" t="s">
        <v>4</v>
      </c>
      <c r="R25" s="20"/>
      <c r="S25" s="16" t="s">
        <v>4</v>
      </c>
      <c r="T25" s="20"/>
      <c r="U25" s="20"/>
      <c r="V25" s="16" t="s">
        <v>4</v>
      </c>
      <c r="W25" s="20"/>
      <c r="X25" s="20"/>
      <c r="Y25" s="20"/>
      <c r="Z25" s="20"/>
      <c r="AA25" s="20"/>
    </row>
    <row r="26">
      <c r="A26" s="109"/>
      <c r="B26" s="19" t="s">
        <v>104</v>
      </c>
      <c r="C26" s="16" t="s">
        <v>2</v>
      </c>
      <c r="D26" s="16" t="s">
        <v>118</v>
      </c>
      <c r="E26" s="20"/>
      <c r="F26" s="16" t="s">
        <v>118</v>
      </c>
      <c r="G26" s="20"/>
      <c r="H26" s="20"/>
      <c r="I26" s="20"/>
      <c r="J26" s="16" t="s">
        <v>4</v>
      </c>
      <c r="K26" s="16" t="s">
        <v>4</v>
      </c>
      <c r="L26" s="20"/>
      <c r="M26" s="20"/>
      <c r="N26" s="16" t="s">
        <v>4</v>
      </c>
      <c r="O26" s="20"/>
      <c r="P26" s="16" t="s">
        <v>4</v>
      </c>
      <c r="Q26" s="20"/>
      <c r="R26" s="16" t="s">
        <v>4</v>
      </c>
      <c r="S26" s="20"/>
      <c r="T26" s="20"/>
      <c r="U26" s="16" t="s">
        <v>4</v>
      </c>
      <c r="V26" s="20"/>
      <c r="W26" s="20"/>
      <c r="X26" s="16"/>
      <c r="Y26" s="20"/>
      <c r="Z26" s="20"/>
      <c r="AA26" s="20"/>
    </row>
    <row r="27">
      <c r="A27" s="109"/>
      <c r="B27" s="19" t="s">
        <v>19</v>
      </c>
      <c r="C27" s="16" t="s">
        <v>2</v>
      </c>
      <c r="D27" s="16" t="s">
        <v>118</v>
      </c>
      <c r="E27" s="20"/>
      <c r="F27" s="20"/>
      <c r="G27" s="16" t="s">
        <v>4</v>
      </c>
      <c r="H27" s="16" t="s">
        <v>4</v>
      </c>
      <c r="I27" s="20"/>
      <c r="J27" s="16" t="s">
        <v>4</v>
      </c>
      <c r="K27" s="16" t="s">
        <v>4</v>
      </c>
      <c r="L27" s="16" t="s">
        <v>118</v>
      </c>
      <c r="M27" s="20"/>
      <c r="N27" s="16" t="s">
        <v>4</v>
      </c>
      <c r="O27" s="20"/>
      <c r="P27" s="16" t="s">
        <v>4</v>
      </c>
      <c r="Q27" s="16" t="s">
        <v>4</v>
      </c>
      <c r="R27" s="16" t="s">
        <v>4</v>
      </c>
      <c r="S27" s="16" t="s">
        <v>4</v>
      </c>
      <c r="T27" s="16" t="s">
        <v>4</v>
      </c>
      <c r="U27" s="16" t="s">
        <v>4</v>
      </c>
      <c r="V27" s="16" t="s">
        <v>4</v>
      </c>
      <c r="W27" s="16" t="s">
        <v>4</v>
      </c>
      <c r="X27" s="16" t="s">
        <v>4</v>
      </c>
      <c r="Y27" s="20"/>
      <c r="Z27" s="20"/>
      <c r="AA27" s="20"/>
    </row>
    <row r="28">
      <c r="A28" s="109"/>
      <c r="B28" s="19" t="s">
        <v>20</v>
      </c>
      <c r="C28" s="16" t="s">
        <v>2</v>
      </c>
      <c r="D28" s="16" t="s">
        <v>118</v>
      </c>
      <c r="E28" s="20"/>
      <c r="F28" s="20"/>
      <c r="G28" s="16" t="s">
        <v>4</v>
      </c>
      <c r="H28" s="16" t="s">
        <v>4</v>
      </c>
      <c r="I28" s="20"/>
      <c r="J28" s="16" t="s">
        <v>4</v>
      </c>
      <c r="K28" s="16" t="s">
        <v>4</v>
      </c>
      <c r="L28" s="16" t="s">
        <v>118</v>
      </c>
      <c r="M28" s="16" t="s">
        <v>4</v>
      </c>
      <c r="N28" s="16" t="s">
        <v>4</v>
      </c>
      <c r="O28" s="16" t="s">
        <v>4</v>
      </c>
      <c r="P28" s="16" t="s">
        <v>4</v>
      </c>
      <c r="Q28" s="16" t="s">
        <v>4</v>
      </c>
      <c r="R28" s="16" t="s">
        <v>4</v>
      </c>
      <c r="S28" s="16" t="s">
        <v>4</v>
      </c>
      <c r="T28" s="16" t="s">
        <v>4</v>
      </c>
      <c r="U28" s="16" t="s">
        <v>4</v>
      </c>
      <c r="V28" s="16" t="s">
        <v>4</v>
      </c>
      <c r="W28" s="16" t="s">
        <v>4</v>
      </c>
      <c r="X28" s="16" t="s">
        <v>4</v>
      </c>
      <c r="Y28" s="20"/>
      <c r="Z28" s="20"/>
      <c r="AA28" s="20"/>
    </row>
    <row r="29">
      <c r="A29" s="109"/>
      <c r="B29" s="19" t="s">
        <v>142</v>
      </c>
      <c r="C29" s="16" t="s">
        <v>2</v>
      </c>
      <c r="D29" s="16" t="s">
        <v>118</v>
      </c>
      <c r="E29" s="16" t="s">
        <v>118</v>
      </c>
      <c r="F29" s="16" t="s">
        <v>118</v>
      </c>
      <c r="G29" s="16" t="s">
        <v>4</v>
      </c>
      <c r="H29" s="16" t="s">
        <v>4</v>
      </c>
      <c r="I29" s="16" t="s">
        <v>118</v>
      </c>
      <c r="J29" s="20"/>
      <c r="K29" s="16" t="s">
        <v>4</v>
      </c>
      <c r="L29" s="16" t="s">
        <v>118</v>
      </c>
      <c r="M29" s="16" t="s">
        <v>4</v>
      </c>
      <c r="N29" s="20"/>
      <c r="O29" s="16" t="s">
        <v>4</v>
      </c>
      <c r="P29" s="16" t="s">
        <v>4</v>
      </c>
      <c r="Q29" s="16" t="s">
        <v>4</v>
      </c>
      <c r="R29" s="20"/>
      <c r="S29" s="16" t="s">
        <v>4</v>
      </c>
      <c r="T29" s="16" t="s">
        <v>4</v>
      </c>
      <c r="U29" s="16" t="s">
        <v>4</v>
      </c>
      <c r="V29" s="16" t="s">
        <v>4</v>
      </c>
      <c r="W29" s="16" t="s">
        <v>4</v>
      </c>
      <c r="X29" s="16" t="s">
        <v>4</v>
      </c>
      <c r="Y29" s="20"/>
      <c r="Z29" s="20"/>
      <c r="AA29" s="20"/>
    </row>
    <row r="30">
      <c r="A30" s="109"/>
      <c r="B30" s="19" t="s">
        <v>143</v>
      </c>
      <c r="C30" s="16" t="s">
        <v>2</v>
      </c>
      <c r="D30" s="16" t="s">
        <v>118</v>
      </c>
      <c r="E30" s="20"/>
      <c r="F30" s="16" t="s">
        <v>118</v>
      </c>
      <c r="G30" s="16" t="s">
        <v>4</v>
      </c>
      <c r="H30" s="16" t="s">
        <v>4</v>
      </c>
      <c r="I30" s="16" t="s">
        <v>118</v>
      </c>
      <c r="J30" s="20"/>
      <c r="K30" s="16" t="s">
        <v>4</v>
      </c>
      <c r="L30" s="16" t="s">
        <v>118</v>
      </c>
      <c r="M30" s="16" t="s">
        <v>4</v>
      </c>
      <c r="N30" s="20"/>
      <c r="O30" s="20"/>
      <c r="P30" s="16" t="s">
        <v>4</v>
      </c>
      <c r="Q30" s="16" t="s">
        <v>4</v>
      </c>
      <c r="R30" s="20"/>
      <c r="S30" s="16" t="s">
        <v>4</v>
      </c>
      <c r="T30" s="16" t="s">
        <v>4</v>
      </c>
      <c r="U30" s="16" t="s">
        <v>4</v>
      </c>
      <c r="V30" s="20"/>
      <c r="W30" s="16" t="s">
        <v>4</v>
      </c>
      <c r="X30" s="20"/>
      <c r="Y30" s="20"/>
      <c r="Z30" s="20"/>
      <c r="AA30" s="20"/>
    </row>
    <row r="31">
      <c r="A31" s="109"/>
      <c r="B31" s="19" t="s">
        <v>236</v>
      </c>
      <c r="C31" s="16" t="s">
        <v>2</v>
      </c>
      <c r="D31" s="16" t="s">
        <v>118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>
      <c r="A32" s="109"/>
      <c r="B32" s="19" t="s">
        <v>237</v>
      </c>
      <c r="C32" s="16" t="s">
        <v>2</v>
      </c>
      <c r="D32" s="16" t="s">
        <v>118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>
      <c r="A33" s="109"/>
      <c r="B33" s="19" t="s">
        <v>21</v>
      </c>
      <c r="C33" s="16" t="s">
        <v>2</v>
      </c>
      <c r="D33" s="16" t="s">
        <v>118</v>
      </c>
      <c r="E33" s="16" t="s">
        <v>118</v>
      </c>
      <c r="F33" s="16" t="s">
        <v>118</v>
      </c>
      <c r="G33" s="16" t="s">
        <v>4</v>
      </c>
      <c r="H33" s="16" t="s">
        <v>4</v>
      </c>
      <c r="I33" s="20"/>
      <c r="J33" s="16" t="s">
        <v>4</v>
      </c>
      <c r="K33" s="16" t="s">
        <v>4</v>
      </c>
      <c r="L33" s="20"/>
      <c r="M33" s="16" t="s">
        <v>4</v>
      </c>
      <c r="N33" s="16" t="s">
        <v>4</v>
      </c>
      <c r="O33" s="20"/>
      <c r="P33" s="16" t="s">
        <v>4</v>
      </c>
      <c r="Q33" s="20"/>
      <c r="R33" s="16" t="s">
        <v>4</v>
      </c>
      <c r="S33" s="16" t="s">
        <v>4</v>
      </c>
      <c r="T33" s="20"/>
      <c r="U33" s="16" t="s">
        <v>4</v>
      </c>
      <c r="V33" s="16" t="s">
        <v>4</v>
      </c>
      <c r="W33" s="16" t="s">
        <v>4</v>
      </c>
      <c r="X33" s="16" t="s">
        <v>4</v>
      </c>
      <c r="Y33" s="20"/>
      <c r="Z33" s="20"/>
      <c r="AA33" s="20"/>
    </row>
    <row r="34">
      <c r="A34" s="109"/>
      <c r="B34" s="19" t="s">
        <v>22</v>
      </c>
      <c r="C34" s="16" t="s">
        <v>2</v>
      </c>
      <c r="D34" s="16" t="s">
        <v>118</v>
      </c>
      <c r="E34" s="16" t="s">
        <v>118</v>
      </c>
      <c r="F34" s="16" t="s">
        <v>118</v>
      </c>
      <c r="G34" s="16" t="s">
        <v>4</v>
      </c>
      <c r="H34" s="16" t="s">
        <v>4</v>
      </c>
      <c r="I34" s="20"/>
      <c r="J34" s="16" t="s">
        <v>4</v>
      </c>
      <c r="K34" s="16" t="s">
        <v>4</v>
      </c>
      <c r="L34" s="20"/>
      <c r="M34" s="16" t="s">
        <v>4</v>
      </c>
      <c r="N34" s="20"/>
      <c r="O34" s="16" t="s">
        <v>4</v>
      </c>
      <c r="P34" s="16" t="s">
        <v>4</v>
      </c>
      <c r="Q34" s="20"/>
      <c r="R34" s="16" t="s">
        <v>4</v>
      </c>
      <c r="S34" s="16" t="s">
        <v>4</v>
      </c>
      <c r="T34" s="16" t="s">
        <v>4</v>
      </c>
      <c r="U34" s="16" t="s">
        <v>4</v>
      </c>
      <c r="V34" s="16" t="s">
        <v>4</v>
      </c>
      <c r="W34" s="16" t="s">
        <v>4</v>
      </c>
      <c r="X34" s="16" t="s">
        <v>4</v>
      </c>
      <c r="Y34" s="20"/>
      <c r="Z34" s="20"/>
      <c r="AA34" s="20"/>
    </row>
    <row r="35">
      <c r="A35" s="109"/>
      <c r="B35" s="19" t="s">
        <v>222</v>
      </c>
      <c r="C35" s="16" t="s">
        <v>2</v>
      </c>
      <c r="D35" s="16" t="s">
        <v>118</v>
      </c>
      <c r="E35" s="16" t="s">
        <v>118</v>
      </c>
      <c r="F35" s="16" t="s">
        <v>118</v>
      </c>
      <c r="G35" s="20"/>
      <c r="H35" s="16" t="s">
        <v>4</v>
      </c>
      <c r="I35" s="20"/>
      <c r="J35" s="16" t="s">
        <v>4</v>
      </c>
      <c r="K35" s="16" t="s">
        <v>4</v>
      </c>
      <c r="L35" s="16" t="s">
        <v>118</v>
      </c>
      <c r="M35" s="20"/>
      <c r="N35" s="16" t="s">
        <v>4</v>
      </c>
      <c r="O35" s="20"/>
      <c r="P35" s="20"/>
      <c r="Q35" s="16" t="s">
        <v>4</v>
      </c>
      <c r="R35" s="16" t="s">
        <v>4</v>
      </c>
      <c r="S35" s="16" t="s">
        <v>4</v>
      </c>
      <c r="T35" s="16" t="s">
        <v>4</v>
      </c>
      <c r="U35" s="16" t="s">
        <v>4</v>
      </c>
      <c r="V35" s="16" t="s">
        <v>4</v>
      </c>
      <c r="W35" s="16" t="s">
        <v>4</v>
      </c>
      <c r="X35" s="16" t="s">
        <v>4</v>
      </c>
      <c r="Y35" s="20"/>
      <c r="Z35" s="20"/>
      <c r="AA35" s="20"/>
    </row>
    <row r="36">
      <c r="A36" s="109"/>
      <c r="B36" s="19" t="s">
        <v>144</v>
      </c>
      <c r="C36" s="16" t="s">
        <v>2</v>
      </c>
      <c r="D36" s="20"/>
      <c r="E36" s="16"/>
      <c r="F36" s="16" t="s">
        <v>118</v>
      </c>
      <c r="G36" s="16" t="s">
        <v>4</v>
      </c>
      <c r="H36" s="16" t="s">
        <v>4</v>
      </c>
      <c r="I36" s="20"/>
      <c r="J36" s="16" t="s">
        <v>4</v>
      </c>
      <c r="K36" s="20"/>
      <c r="L36" s="16" t="s">
        <v>118</v>
      </c>
      <c r="M36" s="16" t="s">
        <v>4</v>
      </c>
      <c r="N36" s="16" t="s">
        <v>4</v>
      </c>
      <c r="O36" s="20"/>
      <c r="P36" s="16" t="s">
        <v>4</v>
      </c>
      <c r="Q36" s="16" t="s">
        <v>4</v>
      </c>
      <c r="R36" s="16" t="s">
        <v>4</v>
      </c>
      <c r="S36" s="16" t="s">
        <v>4</v>
      </c>
      <c r="T36" s="16" t="s">
        <v>4</v>
      </c>
      <c r="U36" s="16" t="s">
        <v>4</v>
      </c>
      <c r="V36" s="16" t="s">
        <v>4</v>
      </c>
      <c r="W36" s="20"/>
      <c r="X36" s="16" t="s">
        <v>4</v>
      </c>
      <c r="Y36" s="20"/>
      <c r="Z36" s="20"/>
      <c r="AA36" s="20"/>
    </row>
    <row r="37">
      <c r="A37" s="109"/>
      <c r="B37" s="19" t="s">
        <v>24</v>
      </c>
      <c r="C37" s="16" t="s">
        <v>2</v>
      </c>
      <c r="D37" s="16" t="s">
        <v>118</v>
      </c>
      <c r="E37" s="16" t="s">
        <v>118</v>
      </c>
      <c r="F37" s="16" t="s">
        <v>118</v>
      </c>
      <c r="G37" s="16" t="s">
        <v>4</v>
      </c>
      <c r="H37" s="16" t="s">
        <v>4</v>
      </c>
      <c r="I37" s="16" t="s">
        <v>118</v>
      </c>
      <c r="J37" s="16" t="s">
        <v>4</v>
      </c>
      <c r="K37" s="16" t="s">
        <v>4</v>
      </c>
      <c r="L37" s="16" t="s">
        <v>118</v>
      </c>
      <c r="M37" s="16" t="s">
        <v>4</v>
      </c>
      <c r="N37" s="20"/>
      <c r="O37" s="20"/>
      <c r="P37" s="16" t="s">
        <v>4</v>
      </c>
      <c r="Q37" s="16" t="s">
        <v>4</v>
      </c>
      <c r="R37" s="16" t="s">
        <v>4</v>
      </c>
      <c r="S37" s="16"/>
      <c r="T37" s="16" t="s">
        <v>4</v>
      </c>
      <c r="U37" s="20"/>
      <c r="V37" s="16" t="s">
        <v>4</v>
      </c>
      <c r="W37" s="16" t="s">
        <v>4</v>
      </c>
      <c r="X37" s="16" t="s">
        <v>4</v>
      </c>
      <c r="Y37" s="20"/>
      <c r="Z37" s="20"/>
      <c r="AA37" s="20"/>
    </row>
    <row r="38">
      <c r="A38" s="109"/>
      <c r="B38" s="19" t="s">
        <v>25</v>
      </c>
      <c r="C38" s="16" t="s">
        <v>2</v>
      </c>
      <c r="D38" s="16" t="s">
        <v>118</v>
      </c>
      <c r="E38" s="16"/>
      <c r="F38" s="16" t="s">
        <v>118</v>
      </c>
      <c r="G38" s="16" t="s">
        <v>4</v>
      </c>
      <c r="H38" s="16" t="s">
        <v>4</v>
      </c>
      <c r="I38" s="16" t="s">
        <v>118</v>
      </c>
      <c r="J38" s="16" t="s">
        <v>4</v>
      </c>
      <c r="K38" s="16" t="s">
        <v>4</v>
      </c>
      <c r="L38" s="16" t="s">
        <v>118</v>
      </c>
      <c r="M38" s="16" t="s">
        <v>4</v>
      </c>
      <c r="N38" s="20"/>
      <c r="O38" s="20"/>
      <c r="P38" s="16" t="s">
        <v>4</v>
      </c>
      <c r="Q38" s="16" t="s">
        <v>4</v>
      </c>
      <c r="R38" s="16" t="s">
        <v>4</v>
      </c>
      <c r="S38" s="16"/>
      <c r="T38" s="16" t="s">
        <v>4</v>
      </c>
      <c r="U38" s="20"/>
      <c r="V38" s="16" t="s">
        <v>4</v>
      </c>
      <c r="W38" s="20"/>
      <c r="X38" s="16" t="s">
        <v>4</v>
      </c>
      <c r="Y38" s="20"/>
      <c r="Z38" s="20"/>
      <c r="AA38" s="20"/>
    </row>
    <row r="39">
      <c r="A39" s="109"/>
      <c r="B39" s="19" t="s">
        <v>145</v>
      </c>
      <c r="C39" s="16" t="s">
        <v>2</v>
      </c>
      <c r="D39" s="20"/>
      <c r="E39" s="16" t="s">
        <v>118</v>
      </c>
      <c r="F39" s="20"/>
      <c r="G39" s="20"/>
      <c r="H39" s="20"/>
      <c r="I39" s="20"/>
      <c r="J39" s="20"/>
      <c r="K39" s="20"/>
      <c r="L39" s="16" t="s">
        <v>118</v>
      </c>
      <c r="M39" s="20"/>
      <c r="N39" s="20"/>
      <c r="O39" s="20"/>
      <c r="P39" s="20"/>
      <c r="Q39" s="20"/>
      <c r="R39" s="20"/>
      <c r="S39" s="20"/>
      <c r="T39" s="16" t="s">
        <v>4</v>
      </c>
      <c r="U39" s="20"/>
      <c r="V39" s="20"/>
      <c r="W39" s="20"/>
      <c r="X39" s="20"/>
      <c r="Y39" s="20"/>
      <c r="Z39" s="20"/>
      <c r="AA39" s="20"/>
    </row>
    <row r="40">
      <c r="A40" s="109"/>
      <c r="B40" s="19" t="s">
        <v>146</v>
      </c>
      <c r="C40" s="16" t="s">
        <v>2</v>
      </c>
      <c r="D40" s="20"/>
      <c r="E40" s="20"/>
      <c r="F40" s="20"/>
      <c r="G40" s="20"/>
      <c r="H40" s="20"/>
      <c r="I40" s="16" t="s">
        <v>118</v>
      </c>
      <c r="J40" s="16" t="s">
        <v>4</v>
      </c>
      <c r="K40" s="16" t="s">
        <v>4</v>
      </c>
      <c r="L40" s="20"/>
      <c r="M40" s="20"/>
      <c r="N40" s="20"/>
      <c r="O40" s="16" t="s">
        <v>4</v>
      </c>
      <c r="P40" s="16" t="s">
        <v>4</v>
      </c>
      <c r="Q40" s="20"/>
      <c r="R40" s="16" t="s">
        <v>4</v>
      </c>
      <c r="S40" s="16" t="s">
        <v>4</v>
      </c>
      <c r="T40" s="16" t="s">
        <v>4</v>
      </c>
      <c r="U40" s="20"/>
      <c r="V40" s="16" t="s">
        <v>4</v>
      </c>
      <c r="W40" s="16" t="s">
        <v>4</v>
      </c>
      <c r="X40" s="16" t="s">
        <v>4</v>
      </c>
      <c r="Y40" s="20"/>
      <c r="Z40" s="20"/>
      <c r="AA40" s="20"/>
    </row>
    <row r="41">
      <c r="A41" s="109"/>
      <c r="B41" s="19" t="s">
        <v>105</v>
      </c>
      <c r="C41" s="16" t="s">
        <v>2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>
      <c r="A42" s="109"/>
      <c r="B42" s="19" t="s">
        <v>147</v>
      </c>
      <c r="C42" s="16" t="s">
        <v>2</v>
      </c>
      <c r="D42" s="16" t="s">
        <v>118</v>
      </c>
      <c r="E42" s="16" t="s">
        <v>118</v>
      </c>
      <c r="F42" s="16" t="s">
        <v>118</v>
      </c>
      <c r="G42" s="20"/>
      <c r="H42" s="16" t="s">
        <v>4</v>
      </c>
      <c r="I42" s="16" t="s">
        <v>118</v>
      </c>
      <c r="J42" s="16" t="s">
        <v>4</v>
      </c>
      <c r="K42" s="20"/>
      <c r="L42" s="16" t="s">
        <v>118</v>
      </c>
      <c r="M42" s="20"/>
      <c r="N42" s="20"/>
      <c r="O42" s="16" t="s">
        <v>4</v>
      </c>
      <c r="P42" s="16" t="s">
        <v>4</v>
      </c>
      <c r="Q42" s="16" t="s">
        <v>4</v>
      </c>
      <c r="R42" s="20"/>
      <c r="S42" s="16" t="s">
        <v>4</v>
      </c>
      <c r="T42" s="20"/>
      <c r="U42" s="20"/>
      <c r="V42" s="20"/>
      <c r="W42" s="16" t="s">
        <v>4</v>
      </c>
      <c r="X42" s="16" t="s">
        <v>4</v>
      </c>
      <c r="Y42" s="20"/>
      <c r="Z42" s="20"/>
      <c r="AA42" s="20"/>
    </row>
    <row r="43">
      <c r="A43" s="109"/>
      <c r="B43" s="19" t="s">
        <v>238</v>
      </c>
      <c r="C43" s="16" t="s">
        <v>2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16"/>
      <c r="V43" s="20"/>
      <c r="W43" s="20"/>
      <c r="X43" s="20"/>
      <c r="Y43" s="20"/>
      <c r="Z43" s="20"/>
      <c r="AA43" s="20"/>
    </row>
    <row r="44">
      <c r="A44" s="109"/>
      <c r="B44" s="19" t="s">
        <v>107</v>
      </c>
      <c r="C44" s="16" t="s">
        <v>2</v>
      </c>
      <c r="D44" s="20"/>
      <c r="E44" s="16" t="s">
        <v>118</v>
      </c>
      <c r="F44" s="16" t="s">
        <v>118</v>
      </c>
      <c r="G44" s="20"/>
      <c r="H44" s="16" t="s">
        <v>4</v>
      </c>
      <c r="I44" s="16" t="s">
        <v>118</v>
      </c>
      <c r="J44" s="20"/>
      <c r="K44" s="16" t="s">
        <v>4</v>
      </c>
      <c r="L44" s="16" t="s">
        <v>118</v>
      </c>
      <c r="M44" s="16" t="s">
        <v>4</v>
      </c>
      <c r="N44" s="20"/>
      <c r="O44" s="20"/>
      <c r="P44" s="20"/>
      <c r="Q44" s="20"/>
      <c r="R44" s="16" t="s">
        <v>4</v>
      </c>
      <c r="S44" s="16" t="s">
        <v>4</v>
      </c>
      <c r="T44" s="16" t="s">
        <v>4</v>
      </c>
      <c r="U44" s="16" t="s">
        <v>4</v>
      </c>
      <c r="V44" s="16" t="s">
        <v>4</v>
      </c>
      <c r="W44" s="16" t="s">
        <v>4</v>
      </c>
      <c r="X44" s="16" t="s">
        <v>4</v>
      </c>
      <c r="Y44" s="20"/>
      <c r="Z44" s="20"/>
      <c r="AA44" s="20"/>
    </row>
    <row r="45">
      <c r="A45" s="109"/>
      <c r="B45" s="19" t="s">
        <v>108</v>
      </c>
      <c r="C45" s="16" t="s">
        <v>2</v>
      </c>
      <c r="D45" s="20"/>
      <c r="E45" s="16" t="s">
        <v>118</v>
      </c>
      <c r="F45" s="16" t="s">
        <v>118</v>
      </c>
      <c r="G45" s="20"/>
      <c r="H45" s="16" t="s">
        <v>4</v>
      </c>
      <c r="I45" s="16" t="s">
        <v>118</v>
      </c>
      <c r="J45" s="16" t="s">
        <v>4</v>
      </c>
      <c r="K45" s="16" t="s">
        <v>4</v>
      </c>
      <c r="L45" s="16" t="s">
        <v>118</v>
      </c>
      <c r="M45" s="16" t="s">
        <v>4</v>
      </c>
      <c r="N45" s="20"/>
      <c r="O45" s="20"/>
      <c r="P45" s="20"/>
      <c r="Q45" s="20"/>
      <c r="R45" s="16" t="s">
        <v>4</v>
      </c>
      <c r="S45" s="16" t="s">
        <v>4</v>
      </c>
      <c r="T45" s="16" t="s">
        <v>4</v>
      </c>
      <c r="U45" s="16" t="s">
        <v>4</v>
      </c>
      <c r="V45" s="16" t="s">
        <v>4</v>
      </c>
      <c r="W45" s="16" t="s">
        <v>4</v>
      </c>
      <c r="X45" s="16" t="s">
        <v>4</v>
      </c>
      <c r="Y45" s="20"/>
      <c r="Z45" s="20"/>
      <c r="AA45" s="20"/>
    </row>
    <row r="46">
      <c r="A46" s="109"/>
      <c r="B46" s="19" t="s">
        <v>27</v>
      </c>
      <c r="C46" s="16" t="s">
        <v>2</v>
      </c>
      <c r="D46" s="16" t="s">
        <v>118</v>
      </c>
      <c r="E46" s="16" t="s">
        <v>118</v>
      </c>
      <c r="F46" s="16" t="s">
        <v>118</v>
      </c>
      <c r="G46" s="20"/>
      <c r="H46" s="16" t="s">
        <v>4</v>
      </c>
      <c r="I46" s="20"/>
      <c r="J46" s="16" t="s">
        <v>4</v>
      </c>
      <c r="K46" s="16" t="s">
        <v>4</v>
      </c>
      <c r="L46" s="20"/>
      <c r="M46" s="16" t="s">
        <v>4</v>
      </c>
      <c r="N46" s="20"/>
      <c r="O46" s="16" t="s">
        <v>4</v>
      </c>
      <c r="P46" s="16" t="s">
        <v>4</v>
      </c>
      <c r="Q46" s="16" t="s">
        <v>4</v>
      </c>
      <c r="R46" s="16" t="s">
        <v>4</v>
      </c>
      <c r="S46" s="16" t="s">
        <v>4</v>
      </c>
      <c r="T46" s="16" t="s">
        <v>4</v>
      </c>
      <c r="U46" s="16" t="s">
        <v>4</v>
      </c>
      <c r="V46" s="16" t="s">
        <v>4</v>
      </c>
      <c r="W46" s="16" t="s">
        <v>4</v>
      </c>
      <c r="X46" s="16" t="s">
        <v>4</v>
      </c>
      <c r="Y46" s="20"/>
      <c r="Z46" s="20"/>
      <c r="AA46" s="20"/>
    </row>
    <row r="47">
      <c r="A47" s="109"/>
      <c r="B47" s="19" t="s">
        <v>28</v>
      </c>
      <c r="C47" s="16" t="s">
        <v>2</v>
      </c>
      <c r="D47" s="16" t="s">
        <v>118</v>
      </c>
      <c r="E47" s="16" t="s">
        <v>118</v>
      </c>
      <c r="F47" s="20"/>
      <c r="G47" s="20"/>
      <c r="H47" s="16" t="s">
        <v>4</v>
      </c>
      <c r="I47" s="16" t="s">
        <v>118</v>
      </c>
      <c r="J47" s="16" t="s">
        <v>4</v>
      </c>
      <c r="K47" s="16" t="s">
        <v>4</v>
      </c>
      <c r="L47" s="20"/>
      <c r="M47" s="16" t="s">
        <v>4</v>
      </c>
      <c r="N47" s="16" t="s">
        <v>4</v>
      </c>
      <c r="O47" s="20"/>
      <c r="P47" s="16" t="s">
        <v>4</v>
      </c>
      <c r="Q47" s="16" t="s">
        <v>4</v>
      </c>
      <c r="R47" s="16" t="s">
        <v>4</v>
      </c>
      <c r="S47" s="16" t="s">
        <v>4</v>
      </c>
      <c r="T47" s="16" t="s">
        <v>4</v>
      </c>
      <c r="U47" s="16" t="s">
        <v>4</v>
      </c>
      <c r="V47" s="16" t="s">
        <v>4</v>
      </c>
      <c r="W47" s="16" t="s">
        <v>4</v>
      </c>
      <c r="X47" s="20"/>
      <c r="Y47" s="20"/>
      <c r="Z47" s="20"/>
      <c r="AA47" s="20"/>
    </row>
    <row r="48">
      <c r="A48" s="109"/>
      <c r="B48" s="19" t="s">
        <v>149</v>
      </c>
      <c r="C48" s="16" t="s">
        <v>2</v>
      </c>
      <c r="D48" s="16"/>
      <c r="E48" s="16" t="s">
        <v>118</v>
      </c>
      <c r="F48" s="16" t="s">
        <v>118</v>
      </c>
      <c r="G48" s="20"/>
      <c r="H48" s="16" t="s">
        <v>4</v>
      </c>
      <c r="I48" s="16" t="s">
        <v>118</v>
      </c>
      <c r="J48" s="16" t="s">
        <v>4</v>
      </c>
      <c r="K48" s="20"/>
      <c r="L48" s="16" t="s">
        <v>118</v>
      </c>
      <c r="M48" s="20"/>
      <c r="N48" s="20"/>
      <c r="O48" s="20"/>
      <c r="P48" s="16" t="s">
        <v>4</v>
      </c>
      <c r="Q48" s="20"/>
      <c r="R48" s="16" t="s">
        <v>4</v>
      </c>
      <c r="S48" s="16" t="s">
        <v>4</v>
      </c>
      <c r="T48" s="20"/>
      <c r="U48" s="16" t="s">
        <v>4</v>
      </c>
      <c r="V48" s="16" t="s">
        <v>4</v>
      </c>
      <c r="W48" s="16" t="s">
        <v>4</v>
      </c>
      <c r="X48" s="16" t="s">
        <v>4</v>
      </c>
      <c r="Y48" s="20"/>
      <c r="Z48" s="20"/>
      <c r="AA48" s="20"/>
    </row>
    <row r="49" ht="15.0" customHeight="1">
      <c r="A49" s="109"/>
      <c r="B49" s="19" t="s">
        <v>223</v>
      </c>
      <c r="C49" s="16" t="s">
        <v>2</v>
      </c>
      <c r="D49" s="20"/>
      <c r="E49" s="16" t="s">
        <v>118</v>
      </c>
      <c r="F49" s="20"/>
      <c r="G49" s="16" t="s">
        <v>4</v>
      </c>
      <c r="H49" s="16" t="s">
        <v>4</v>
      </c>
      <c r="I49" s="20"/>
      <c r="J49" s="20"/>
      <c r="K49" s="16" t="s">
        <v>4</v>
      </c>
      <c r="L49" s="20"/>
      <c r="M49" s="16" t="s">
        <v>4</v>
      </c>
      <c r="N49" s="20"/>
      <c r="O49" s="16" t="s">
        <v>4</v>
      </c>
      <c r="P49" s="16" t="s">
        <v>4</v>
      </c>
      <c r="Q49" s="20"/>
      <c r="R49" s="16" t="s">
        <v>4</v>
      </c>
      <c r="S49" s="16" t="s">
        <v>4</v>
      </c>
      <c r="T49" s="20"/>
      <c r="U49" s="20"/>
      <c r="V49" s="20"/>
      <c r="W49" s="16" t="s">
        <v>4</v>
      </c>
      <c r="X49" s="20"/>
      <c r="Y49" s="20"/>
      <c r="Z49" s="20"/>
      <c r="AA49" s="20"/>
    </row>
    <row r="50" ht="15.0" customHeight="1">
      <c r="A50" s="109"/>
      <c r="B50" s="19" t="s">
        <v>239</v>
      </c>
      <c r="C50" s="16" t="s">
        <v>2</v>
      </c>
      <c r="D50" s="20"/>
      <c r="E50" s="16"/>
      <c r="F50" s="20"/>
      <c r="G50" s="16"/>
      <c r="H50" s="16"/>
      <c r="I50" s="20"/>
      <c r="J50" s="20"/>
      <c r="K50" s="16"/>
      <c r="L50" s="20"/>
      <c r="M50" s="16"/>
      <c r="N50" s="20"/>
      <c r="O50" s="16"/>
      <c r="P50" s="16" t="s">
        <v>4</v>
      </c>
      <c r="Q50" s="20"/>
      <c r="R50" s="20"/>
      <c r="S50" s="20"/>
      <c r="T50" s="20"/>
      <c r="U50" s="20"/>
      <c r="V50" s="16" t="s">
        <v>4</v>
      </c>
      <c r="W50" s="20"/>
      <c r="X50" s="20"/>
      <c r="Y50" s="20"/>
      <c r="Z50" s="20"/>
      <c r="AA50" s="20"/>
    </row>
    <row r="51">
      <c r="A51" s="109"/>
      <c r="B51" s="109"/>
      <c r="C51" s="16"/>
      <c r="D51" s="16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>
      <c r="A52" s="142" t="s">
        <v>30</v>
      </c>
      <c r="B52" s="94" t="s">
        <v>31</v>
      </c>
      <c r="C52" s="16" t="s">
        <v>30</v>
      </c>
      <c r="D52" s="20"/>
      <c r="E52" s="20"/>
      <c r="F52" s="20"/>
      <c r="G52" s="20"/>
      <c r="H52" s="20"/>
      <c r="I52" s="20"/>
      <c r="J52" s="20"/>
      <c r="K52" s="20"/>
      <c r="L52" s="16" t="s">
        <v>4</v>
      </c>
      <c r="M52" s="20"/>
      <c r="N52" s="16" t="s">
        <v>4</v>
      </c>
      <c r="O52" s="16" t="s">
        <v>4</v>
      </c>
      <c r="P52" s="16" t="s">
        <v>4</v>
      </c>
      <c r="Q52" s="20"/>
      <c r="R52" s="16" t="s">
        <v>4</v>
      </c>
      <c r="S52" s="16" t="s">
        <v>4</v>
      </c>
      <c r="T52" s="16" t="s">
        <v>4</v>
      </c>
      <c r="U52" s="16" t="s">
        <v>4</v>
      </c>
      <c r="V52" s="16" t="s">
        <v>4</v>
      </c>
      <c r="W52" s="16" t="s">
        <v>4</v>
      </c>
      <c r="X52" s="16" t="s">
        <v>4</v>
      </c>
      <c r="Y52" s="20"/>
      <c r="Z52" s="20"/>
      <c r="AA52" s="20"/>
    </row>
    <row r="53">
      <c r="B53" s="16" t="s">
        <v>52</v>
      </c>
      <c r="C53" s="16" t="s">
        <v>30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>
      <c r="B54" s="16" t="s">
        <v>32</v>
      </c>
      <c r="C54" s="16" t="s">
        <v>30</v>
      </c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16" t="s">
        <v>4</v>
      </c>
      <c r="X54" s="20"/>
      <c r="Y54" s="20"/>
      <c r="Z54" s="20"/>
      <c r="AA54" s="20"/>
    </row>
    <row r="55">
      <c r="A55" s="95"/>
      <c r="B55" s="95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>
      <c r="A56" s="97"/>
      <c r="B56" s="19" t="s">
        <v>159</v>
      </c>
      <c r="C56" s="16" t="s">
        <v>58</v>
      </c>
      <c r="D56" s="16"/>
      <c r="E56" s="20"/>
      <c r="F56" s="16">
        <v>1.0</v>
      </c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>
      <c r="A57" s="97"/>
      <c r="B57" s="19" t="s">
        <v>162</v>
      </c>
      <c r="C57" s="16" t="s">
        <v>58</v>
      </c>
      <c r="D57" s="16"/>
      <c r="E57" s="20"/>
      <c r="F57" s="16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16">
        <v>1.0</v>
      </c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>
      <c r="A58" s="143" t="s">
        <v>58</v>
      </c>
      <c r="B58" s="19" t="s">
        <v>163</v>
      </c>
      <c r="C58" s="16" t="s">
        <v>58</v>
      </c>
      <c r="D58" s="20"/>
      <c r="E58" s="20"/>
      <c r="F58" s="20"/>
      <c r="G58" s="16">
        <v>1.0</v>
      </c>
      <c r="H58" s="20"/>
      <c r="I58" s="16" t="s">
        <v>118</v>
      </c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>
      <c r="A59" s="144" t="s">
        <v>224</v>
      </c>
      <c r="B59" s="19" t="s">
        <v>54</v>
      </c>
      <c r="C59" s="16" t="s">
        <v>58</v>
      </c>
      <c r="D59" s="20"/>
      <c r="E59" s="20"/>
      <c r="F59" s="20"/>
      <c r="G59" s="20"/>
      <c r="H59" s="20"/>
      <c r="I59" s="20"/>
      <c r="J59" s="16"/>
      <c r="K59" s="16"/>
      <c r="L59" s="20"/>
      <c r="M59" s="20"/>
      <c r="N59" s="20"/>
      <c r="O59" s="20"/>
      <c r="P59" s="16"/>
      <c r="Q59" s="20"/>
      <c r="R59" s="20"/>
      <c r="S59" s="16">
        <v>1.0</v>
      </c>
      <c r="T59" s="20"/>
      <c r="U59" s="16" t="s">
        <v>4</v>
      </c>
      <c r="V59" s="16" t="s">
        <v>4</v>
      </c>
      <c r="W59" s="16" t="s">
        <v>4</v>
      </c>
      <c r="X59" s="16" t="s">
        <v>4</v>
      </c>
      <c r="Y59" s="20"/>
      <c r="Z59" s="20"/>
      <c r="AA59" s="20"/>
    </row>
    <row r="60">
      <c r="A60" s="144" t="s">
        <v>53</v>
      </c>
      <c r="B60" s="19" t="s">
        <v>55</v>
      </c>
      <c r="C60" s="16" t="s">
        <v>58</v>
      </c>
      <c r="D60" s="20"/>
      <c r="E60" s="20"/>
      <c r="F60" s="20"/>
      <c r="G60" s="20"/>
      <c r="H60" s="20"/>
      <c r="I60" s="20"/>
      <c r="J60" s="16"/>
      <c r="K60" s="16"/>
      <c r="L60" s="20"/>
      <c r="M60" s="20"/>
      <c r="N60" s="20"/>
      <c r="O60" s="20"/>
      <c r="P60" s="16"/>
      <c r="Q60" s="20"/>
      <c r="R60" s="20"/>
      <c r="S60" s="16">
        <v>1.0</v>
      </c>
      <c r="T60" s="20"/>
      <c r="U60" s="16" t="s">
        <v>4</v>
      </c>
      <c r="V60" s="16"/>
      <c r="W60" s="16" t="s">
        <v>4</v>
      </c>
      <c r="X60" s="16" t="s">
        <v>4</v>
      </c>
      <c r="Y60" s="20"/>
      <c r="Z60" s="20"/>
      <c r="AA60" s="20"/>
    </row>
    <row r="61">
      <c r="A61" s="144"/>
      <c r="B61" s="19" t="s">
        <v>164</v>
      </c>
      <c r="C61" s="16" t="s">
        <v>58</v>
      </c>
      <c r="D61" s="20"/>
      <c r="E61" s="20"/>
      <c r="F61" s="20"/>
      <c r="G61" s="20"/>
      <c r="H61" s="20"/>
      <c r="I61" s="20"/>
      <c r="J61" s="16"/>
      <c r="K61" s="16"/>
      <c r="L61" s="20"/>
      <c r="M61" s="20"/>
      <c r="N61" s="20"/>
      <c r="O61" s="20"/>
      <c r="P61" s="16"/>
      <c r="Q61" s="20"/>
      <c r="R61" s="20"/>
      <c r="S61" s="16">
        <v>1.0</v>
      </c>
      <c r="T61" s="20"/>
      <c r="U61" s="20"/>
      <c r="V61" s="20"/>
      <c r="W61" s="20"/>
      <c r="X61" s="20"/>
      <c r="Y61" s="20"/>
      <c r="Z61" s="20"/>
      <c r="AA61" s="20"/>
    </row>
    <row r="62">
      <c r="A62" s="144"/>
      <c r="B62" s="19" t="s">
        <v>240</v>
      </c>
      <c r="C62" s="16" t="s">
        <v>58</v>
      </c>
      <c r="D62" s="20"/>
      <c r="E62" s="20"/>
      <c r="F62" s="20"/>
      <c r="G62" s="20"/>
      <c r="H62" s="20"/>
      <c r="I62" s="20"/>
      <c r="J62" s="16"/>
      <c r="K62" s="16"/>
      <c r="L62" s="20"/>
      <c r="M62" s="20"/>
      <c r="N62" s="20"/>
      <c r="O62" s="20"/>
      <c r="P62" s="16"/>
      <c r="Q62" s="20"/>
      <c r="R62" s="20"/>
      <c r="S62" s="16"/>
      <c r="T62" s="20"/>
      <c r="U62" s="20"/>
      <c r="V62" s="16"/>
      <c r="W62" s="16">
        <v>1.0</v>
      </c>
      <c r="X62" s="20"/>
      <c r="Y62" s="20"/>
      <c r="Z62" s="20"/>
      <c r="AA62" s="20"/>
    </row>
    <row r="63">
      <c r="A63" s="97"/>
      <c r="B63" s="97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>
      <c r="A64" s="146"/>
      <c r="B64" s="19" t="s">
        <v>241</v>
      </c>
      <c r="C64" s="16" t="s">
        <v>89</v>
      </c>
      <c r="D64" s="20"/>
      <c r="E64" s="20"/>
      <c r="F64" s="16" t="s">
        <v>4</v>
      </c>
      <c r="G64" s="20"/>
      <c r="H64" s="20"/>
      <c r="I64" s="20"/>
      <c r="J64" s="16" t="s">
        <v>4</v>
      </c>
      <c r="K64" s="20"/>
      <c r="L64" s="16" t="s">
        <v>118</v>
      </c>
      <c r="M64" s="20"/>
      <c r="N64" s="20"/>
      <c r="O64" s="20"/>
      <c r="P64" s="16"/>
      <c r="Q64" s="20"/>
      <c r="R64" s="20"/>
      <c r="S64" s="20"/>
      <c r="T64" s="20"/>
      <c r="U64" s="20"/>
      <c r="V64" s="20"/>
      <c r="W64" s="20"/>
      <c r="X64" s="16"/>
      <c r="Y64" s="20"/>
      <c r="Z64" s="20"/>
      <c r="AA64" s="20"/>
    </row>
    <row r="65">
      <c r="A65" s="146"/>
      <c r="B65" s="19" t="s">
        <v>242</v>
      </c>
      <c r="C65" s="16" t="s">
        <v>89</v>
      </c>
      <c r="D65" s="20"/>
      <c r="E65" s="20"/>
      <c r="F65" s="16"/>
      <c r="G65" s="20"/>
      <c r="H65" s="16" t="s">
        <v>4</v>
      </c>
      <c r="I65" s="16" t="s">
        <v>118</v>
      </c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>
      <c r="A66" s="146"/>
      <c r="B66" s="19" t="s">
        <v>243</v>
      </c>
      <c r="C66" s="16" t="s">
        <v>89</v>
      </c>
      <c r="D66" s="20"/>
      <c r="E66" s="20"/>
      <c r="F66" s="16"/>
      <c r="G66" s="20"/>
      <c r="H66" s="16" t="s">
        <v>4</v>
      </c>
      <c r="I66" s="16" t="s">
        <v>118</v>
      </c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>
      <c r="A67" s="146" t="s">
        <v>89</v>
      </c>
      <c r="B67" s="19" t="s">
        <v>244</v>
      </c>
      <c r="C67" s="16" t="s">
        <v>89</v>
      </c>
      <c r="D67" s="20"/>
      <c r="E67" s="20"/>
      <c r="F67" s="16" t="s">
        <v>4</v>
      </c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>
      <c r="A68" s="146"/>
      <c r="B68" s="19" t="s">
        <v>245</v>
      </c>
      <c r="C68" s="16" t="s">
        <v>89</v>
      </c>
      <c r="D68" s="20"/>
      <c r="E68" s="20"/>
      <c r="F68" s="16"/>
      <c r="G68" s="20"/>
      <c r="H68" s="20"/>
      <c r="I68" s="20"/>
      <c r="J68" s="16" t="s">
        <v>4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>
      <c r="A69" s="146"/>
      <c r="B69" s="19" t="s">
        <v>246</v>
      </c>
      <c r="C69" s="16" t="s">
        <v>89</v>
      </c>
      <c r="D69" s="20"/>
      <c r="E69" s="20"/>
      <c r="F69" s="20"/>
      <c r="G69" s="20"/>
      <c r="H69" s="20"/>
      <c r="I69" s="20"/>
      <c r="J69" s="16"/>
      <c r="K69" s="16" t="s">
        <v>4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>
      <c r="A70" s="146"/>
      <c r="B70" s="19" t="s">
        <v>247</v>
      </c>
      <c r="C70" s="16" t="s">
        <v>89</v>
      </c>
      <c r="D70" s="20"/>
      <c r="E70" s="20"/>
      <c r="F70" s="20"/>
      <c r="G70" s="20"/>
      <c r="H70" s="20"/>
      <c r="I70" s="20"/>
      <c r="J70" s="16"/>
      <c r="K70" s="16" t="s">
        <v>4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>
      <c r="A71" s="146"/>
      <c r="B71" s="19" t="s">
        <v>32</v>
      </c>
      <c r="C71" s="16" t="s">
        <v>89</v>
      </c>
      <c r="D71" s="20"/>
      <c r="E71" s="20"/>
      <c r="F71" s="20"/>
      <c r="G71" s="20"/>
      <c r="H71" s="20"/>
      <c r="I71" s="20"/>
      <c r="J71" s="16"/>
      <c r="K71" s="16"/>
      <c r="L71" s="20"/>
      <c r="M71" s="20"/>
      <c r="N71" s="20"/>
      <c r="O71" s="20"/>
      <c r="P71" s="16" t="s">
        <v>4</v>
      </c>
      <c r="Q71" s="20"/>
      <c r="R71" s="20"/>
      <c r="S71" s="16" t="s">
        <v>4</v>
      </c>
      <c r="T71" s="20"/>
      <c r="U71" s="16"/>
      <c r="V71" s="20"/>
      <c r="W71" s="20"/>
      <c r="X71" s="20"/>
      <c r="Y71" s="20"/>
      <c r="Z71" s="20"/>
      <c r="AA71" s="20"/>
    </row>
    <row r="72">
      <c r="A72" s="146"/>
      <c r="B72" s="19" t="s">
        <v>52</v>
      </c>
      <c r="C72" s="16" t="s">
        <v>89</v>
      </c>
      <c r="D72" s="20"/>
      <c r="E72" s="20"/>
      <c r="F72" s="20"/>
      <c r="G72" s="20"/>
      <c r="H72" s="20"/>
      <c r="I72" s="20"/>
      <c r="J72" s="16"/>
      <c r="K72" s="16"/>
      <c r="L72" s="20"/>
      <c r="M72" s="20"/>
      <c r="N72" s="20"/>
      <c r="O72" s="20"/>
      <c r="P72" s="16" t="s">
        <v>4</v>
      </c>
      <c r="Q72" s="20"/>
      <c r="R72" s="20"/>
      <c r="S72" s="16" t="s">
        <v>4</v>
      </c>
      <c r="T72" s="20"/>
      <c r="U72" s="16"/>
      <c r="V72" s="20"/>
      <c r="W72" s="20"/>
      <c r="X72" s="20"/>
      <c r="Y72" s="20"/>
      <c r="Z72" s="20"/>
      <c r="AA72" s="20"/>
    </row>
    <row r="73">
      <c r="A73" s="146"/>
      <c r="B73" s="19" t="s">
        <v>248</v>
      </c>
      <c r="C73" s="16" t="s">
        <v>89</v>
      </c>
      <c r="D73" s="20"/>
      <c r="E73" s="20"/>
      <c r="F73" s="20"/>
      <c r="G73" s="20"/>
      <c r="H73" s="20"/>
      <c r="I73" s="20"/>
      <c r="J73" s="16"/>
      <c r="K73" s="16"/>
      <c r="L73" s="20"/>
      <c r="M73" s="20"/>
      <c r="N73" s="20"/>
      <c r="O73" s="20"/>
      <c r="P73" s="16"/>
      <c r="Q73" s="20"/>
      <c r="R73" s="20"/>
      <c r="S73" s="16" t="s">
        <v>4</v>
      </c>
      <c r="T73" s="20"/>
      <c r="U73" s="16" t="s">
        <v>4</v>
      </c>
      <c r="V73" s="20"/>
      <c r="W73" s="20"/>
      <c r="X73" s="20"/>
      <c r="Y73" s="20"/>
      <c r="Z73" s="20"/>
      <c r="AA73" s="20"/>
    </row>
    <row r="74">
      <c r="A74" s="146"/>
      <c r="B74" s="19" t="s">
        <v>249</v>
      </c>
      <c r="C74" s="16" t="s">
        <v>89</v>
      </c>
      <c r="D74" s="20"/>
      <c r="E74" s="20"/>
      <c r="F74" s="20"/>
      <c r="G74" s="20"/>
      <c r="H74" s="20"/>
      <c r="I74" s="20"/>
      <c r="J74" s="16"/>
      <c r="K74" s="16"/>
      <c r="L74" s="20"/>
      <c r="M74" s="20"/>
      <c r="N74" s="20"/>
      <c r="O74" s="20"/>
      <c r="P74" s="16"/>
      <c r="Q74" s="20"/>
      <c r="R74" s="20"/>
      <c r="S74" s="16"/>
      <c r="T74" s="20"/>
      <c r="U74" s="16" t="s">
        <v>4</v>
      </c>
      <c r="V74" s="20"/>
      <c r="W74" s="20"/>
      <c r="X74" s="20"/>
      <c r="Y74" s="20"/>
      <c r="Z74" s="20"/>
      <c r="AA74" s="20"/>
    </row>
    <row r="75">
      <c r="A75" s="146"/>
      <c r="B75" s="19" t="s">
        <v>250</v>
      </c>
      <c r="C75" s="16" t="s">
        <v>89</v>
      </c>
      <c r="D75" s="20"/>
      <c r="E75" s="20"/>
      <c r="F75" s="20"/>
      <c r="G75" s="20"/>
      <c r="H75" s="20"/>
      <c r="I75" s="20"/>
      <c r="J75" s="16"/>
      <c r="K75" s="16"/>
      <c r="L75" s="20"/>
      <c r="M75" s="20"/>
      <c r="N75" s="20"/>
      <c r="O75" s="20"/>
      <c r="P75" s="16"/>
      <c r="Q75" s="20"/>
      <c r="R75" s="20"/>
      <c r="S75" s="16"/>
      <c r="T75" s="20"/>
      <c r="U75" s="16" t="s">
        <v>4</v>
      </c>
      <c r="V75" s="20"/>
      <c r="W75" s="20"/>
      <c r="X75" s="20"/>
      <c r="Y75" s="20"/>
      <c r="Z75" s="20"/>
      <c r="AA75" s="20"/>
    </row>
    <row r="76">
      <c r="A76" s="146"/>
      <c r="B76" s="19" t="s">
        <v>251</v>
      </c>
      <c r="C76" s="16" t="s">
        <v>89</v>
      </c>
      <c r="D76" s="20"/>
      <c r="E76" s="20"/>
      <c r="F76" s="20"/>
      <c r="G76" s="20"/>
      <c r="H76" s="20"/>
      <c r="I76" s="20"/>
      <c r="J76" s="16"/>
      <c r="K76" s="16"/>
      <c r="L76" s="20"/>
      <c r="M76" s="20"/>
      <c r="N76" s="20"/>
      <c r="O76" s="20"/>
      <c r="P76" s="16"/>
      <c r="Q76" s="20"/>
      <c r="R76" s="20"/>
      <c r="S76" s="16"/>
      <c r="T76" s="20"/>
      <c r="U76" s="16" t="s">
        <v>4</v>
      </c>
      <c r="V76" s="20"/>
      <c r="W76" s="20"/>
      <c r="X76" s="20"/>
      <c r="Y76" s="20"/>
      <c r="Z76" s="20"/>
      <c r="AA76" s="20"/>
    </row>
    <row r="77">
      <c r="A77" s="146"/>
      <c r="B77" s="19" t="s">
        <v>252</v>
      </c>
      <c r="C77" s="16" t="s">
        <v>89</v>
      </c>
      <c r="D77" s="20"/>
      <c r="E77" s="20"/>
      <c r="F77" s="20"/>
      <c r="G77" s="20"/>
      <c r="H77" s="20"/>
      <c r="I77" s="20"/>
      <c r="J77" s="16"/>
      <c r="K77" s="16"/>
      <c r="L77" s="20"/>
      <c r="M77" s="20"/>
      <c r="N77" s="20"/>
      <c r="O77" s="20"/>
      <c r="P77" s="16"/>
      <c r="Q77" s="20"/>
      <c r="R77" s="20"/>
      <c r="S77" s="16"/>
      <c r="T77" s="20"/>
      <c r="U77" s="16" t="s">
        <v>4</v>
      </c>
      <c r="V77" s="20"/>
      <c r="W77" s="20"/>
      <c r="X77" s="20"/>
      <c r="Y77" s="20"/>
      <c r="Z77" s="20"/>
      <c r="AA77" s="20"/>
    </row>
    <row r="78">
      <c r="A78" s="146"/>
      <c r="B78" s="19" t="s">
        <v>253</v>
      </c>
      <c r="C78" s="16" t="s">
        <v>89</v>
      </c>
      <c r="D78" s="20"/>
      <c r="E78" s="20"/>
      <c r="F78" s="20"/>
      <c r="G78" s="20"/>
      <c r="H78" s="20"/>
      <c r="I78" s="20"/>
      <c r="J78" s="16"/>
      <c r="K78" s="16"/>
      <c r="L78" s="20"/>
      <c r="M78" s="20"/>
      <c r="N78" s="20"/>
      <c r="O78" s="20"/>
      <c r="P78" s="16"/>
      <c r="Q78" s="20"/>
      <c r="R78" s="20"/>
      <c r="S78" s="16"/>
      <c r="T78" s="20"/>
      <c r="U78" s="16" t="s">
        <v>4</v>
      </c>
      <c r="V78" s="20"/>
      <c r="W78" s="20"/>
      <c r="X78" s="20"/>
      <c r="Y78" s="20"/>
      <c r="Z78" s="20"/>
      <c r="AA78" s="20"/>
    </row>
    <row r="79">
      <c r="A79" s="146"/>
      <c r="B79" s="19" t="s">
        <v>254</v>
      </c>
      <c r="C79" s="16" t="s">
        <v>89</v>
      </c>
      <c r="D79" s="20"/>
      <c r="E79" s="20"/>
      <c r="F79" s="20"/>
      <c r="G79" s="20"/>
      <c r="H79" s="20"/>
      <c r="I79" s="20"/>
      <c r="J79" s="16"/>
      <c r="K79" s="16"/>
      <c r="L79" s="20"/>
      <c r="M79" s="20"/>
      <c r="N79" s="20"/>
      <c r="O79" s="20"/>
      <c r="P79" s="16"/>
      <c r="Q79" s="20"/>
      <c r="R79" s="20"/>
      <c r="S79" s="16"/>
      <c r="T79" s="20"/>
      <c r="U79" s="16" t="s">
        <v>4</v>
      </c>
      <c r="V79" s="20"/>
      <c r="W79" s="20"/>
      <c r="X79" s="20"/>
      <c r="Y79" s="20"/>
      <c r="Z79" s="20"/>
      <c r="AA79" s="20"/>
    </row>
    <row r="80">
      <c r="A80" s="146"/>
      <c r="B80" s="16" t="s">
        <v>255</v>
      </c>
      <c r="C80" s="16" t="s">
        <v>89</v>
      </c>
      <c r="D80" s="20"/>
      <c r="E80" s="20"/>
      <c r="F80" s="20"/>
      <c r="G80" s="20"/>
      <c r="H80" s="20"/>
      <c r="I80" s="20"/>
      <c r="J80" s="16"/>
      <c r="K80" s="16"/>
      <c r="L80" s="20"/>
      <c r="M80" s="20"/>
      <c r="N80" s="20"/>
      <c r="O80" s="20"/>
      <c r="P80" s="16"/>
      <c r="Q80" s="20"/>
      <c r="R80" s="20"/>
      <c r="S80" s="16"/>
      <c r="T80" s="20"/>
      <c r="U80" s="16" t="s">
        <v>4</v>
      </c>
      <c r="V80" s="20"/>
      <c r="W80" s="20"/>
      <c r="X80" s="20"/>
      <c r="Y80" s="20"/>
      <c r="Z80" s="20"/>
      <c r="AA80" s="20"/>
    </row>
    <row r="81">
      <c r="A81" s="146"/>
      <c r="B81" s="16" t="s">
        <v>256</v>
      </c>
      <c r="C81" s="16" t="s">
        <v>89</v>
      </c>
      <c r="D81" s="20"/>
      <c r="E81" s="20"/>
      <c r="F81" s="20"/>
      <c r="G81" s="20"/>
      <c r="H81" s="20"/>
      <c r="I81" s="20"/>
      <c r="J81" s="16"/>
      <c r="K81" s="16"/>
      <c r="L81" s="20"/>
      <c r="M81" s="20"/>
      <c r="N81" s="20"/>
      <c r="O81" s="20"/>
      <c r="P81" s="16"/>
      <c r="Q81" s="20"/>
      <c r="R81" s="20"/>
      <c r="S81" s="16"/>
      <c r="T81" s="20"/>
      <c r="U81" s="16" t="s">
        <v>4</v>
      </c>
      <c r="V81" s="20"/>
      <c r="W81" s="20"/>
      <c r="X81" s="20"/>
      <c r="Y81" s="20"/>
      <c r="Z81" s="20"/>
      <c r="AA81" s="20"/>
    </row>
    <row r="82">
      <c r="A82" s="146"/>
      <c r="B82" s="16" t="s">
        <v>257</v>
      </c>
      <c r="C82" s="16" t="s">
        <v>89</v>
      </c>
      <c r="D82" s="20"/>
      <c r="E82" s="20"/>
      <c r="F82" s="20"/>
      <c r="G82" s="20"/>
      <c r="H82" s="20"/>
      <c r="I82" s="20"/>
      <c r="J82" s="16"/>
      <c r="K82" s="16"/>
      <c r="L82" s="20"/>
      <c r="M82" s="20"/>
      <c r="N82" s="20"/>
      <c r="O82" s="20"/>
      <c r="P82" s="16"/>
      <c r="Q82" s="20"/>
      <c r="R82" s="20"/>
      <c r="S82" s="16"/>
      <c r="T82" s="20"/>
      <c r="U82" s="16"/>
      <c r="V82" s="20"/>
      <c r="W82" s="20"/>
      <c r="X82" s="16" t="s">
        <v>4</v>
      </c>
      <c r="Y82" s="20"/>
      <c r="Z82" s="20"/>
      <c r="AA82" s="20"/>
    </row>
    <row r="83">
      <c r="A83" s="146"/>
      <c r="B83" s="46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>
      <c r="A84" s="147" t="s">
        <v>98</v>
      </c>
      <c r="B84" s="16"/>
      <c r="C84" s="16"/>
      <c r="D84" s="20"/>
      <c r="E84" s="20"/>
      <c r="F84" s="20"/>
      <c r="G84" s="20"/>
      <c r="H84" s="20"/>
      <c r="I84" s="20"/>
      <c r="J84" s="20"/>
      <c r="K84" s="20"/>
      <c r="L84" s="16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>
      <c r="B93" s="5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>
      <c r="A94" s="109"/>
      <c r="B94" s="140" t="s">
        <v>2</v>
      </c>
      <c r="C94" s="16"/>
      <c r="D94" s="16">
        <f t="shared" ref="D94:Y94" si="1">countifs($C$2:$C$89,"OM",D$2:D$89,"x")</f>
        <v>28</v>
      </c>
      <c r="E94" s="16">
        <f t="shared" si="1"/>
        <v>27</v>
      </c>
      <c r="F94" s="16">
        <f t="shared" si="1"/>
        <v>28</v>
      </c>
      <c r="G94" s="16">
        <f t="shared" si="1"/>
        <v>19</v>
      </c>
      <c r="H94" s="16">
        <f t="shared" si="1"/>
        <v>30</v>
      </c>
      <c r="I94" s="16">
        <f t="shared" si="1"/>
        <v>20</v>
      </c>
      <c r="J94" s="16">
        <f t="shared" si="1"/>
        <v>29</v>
      </c>
      <c r="K94" s="16">
        <f t="shared" si="1"/>
        <v>27</v>
      </c>
      <c r="L94" s="16">
        <f t="shared" si="1"/>
        <v>23</v>
      </c>
      <c r="M94" s="16">
        <f t="shared" si="1"/>
        <v>22</v>
      </c>
      <c r="N94" s="16">
        <f t="shared" si="1"/>
        <v>18</v>
      </c>
      <c r="O94" s="16">
        <f t="shared" si="1"/>
        <v>16</v>
      </c>
      <c r="P94" s="16">
        <f t="shared" si="1"/>
        <v>23</v>
      </c>
      <c r="Q94" s="16">
        <f t="shared" si="1"/>
        <v>20</v>
      </c>
      <c r="R94" s="16">
        <f t="shared" si="1"/>
        <v>29</v>
      </c>
      <c r="S94" s="16">
        <f t="shared" si="1"/>
        <v>28</v>
      </c>
      <c r="T94" s="16">
        <f t="shared" si="1"/>
        <v>24</v>
      </c>
      <c r="U94" s="16">
        <f t="shared" si="1"/>
        <v>27</v>
      </c>
      <c r="V94" s="16">
        <f t="shared" si="1"/>
        <v>24</v>
      </c>
      <c r="W94" s="16">
        <f t="shared" si="1"/>
        <v>23</v>
      </c>
      <c r="X94" s="16">
        <f t="shared" si="1"/>
        <v>26</v>
      </c>
      <c r="Y94" s="16">
        <f t="shared" si="1"/>
        <v>0</v>
      </c>
      <c r="Z94" s="20"/>
      <c r="AA94" s="20"/>
    </row>
    <row r="95">
      <c r="A95" s="148"/>
      <c r="B95" s="149" t="s">
        <v>53</v>
      </c>
      <c r="C95" s="20"/>
      <c r="D95" s="16">
        <f t="shared" ref="D95:Y95" si="2">countifs($C$2:$C$89,"FT",D$2:D$89,"x")</f>
        <v>0</v>
      </c>
      <c r="E95" s="16">
        <f t="shared" si="2"/>
        <v>0</v>
      </c>
      <c r="F95" s="16">
        <f t="shared" si="2"/>
        <v>0</v>
      </c>
      <c r="G95" s="16">
        <f t="shared" si="2"/>
        <v>0</v>
      </c>
      <c r="H95" s="16">
        <f t="shared" si="2"/>
        <v>0</v>
      </c>
      <c r="I95" s="16">
        <f t="shared" si="2"/>
        <v>1</v>
      </c>
      <c r="J95" s="16">
        <f t="shared" si="2"/>
        <v>0</v>
      </c>
      <c r="K95" s="16">
        <f t="shared" si="2"/>
        <v>0</v>
      </c>
      <c r="L95" s="16">
        <f t="shared" si="2"/>
        <v>0</v>
      </c>
      <c r="M95" s="16">
        <f t="shared" si="2"/>
        <v>0</v>
      </c>
      <c r="N95" s="16">
        <f t="shared" si="2"/>
        <v>0</v>
      </c>
      <c r="O95" s="16">
        <f t="shared" si="2"/>
        <v>0</v>
      </c>
      <c r="P95" s="16">
        <f t="shared" si="2"/>
        <v>0</v>
      </c>
      <c r="Q95" s="16">
        <f t="shared" si="2"/>
        <v>0</v>
      </c>
      <c r="R95" s="16">
        <f t="shared" si="2"/>
        <v>0</v>
      </c>
      <c r="S95" s="16">
        <f t="shared" si="2"/>
        <v>0</v>
      </c>
      <c r="T95" s="16">
        <f t="shared" si="2"/>
        <v>0</v>
      </c>
      <c r="U95" s="16">
        <f t="shared" si="2"/>
        <v>2</v>
      </c>
      <c r="V95" s="16">
        <f t="shared" si="2"/>
        <v>1</v>
      </c>
      <c r="W95" s="16">
        <f t="shared" si="2"/>
        <v>2</v>
      </c>
      <c r="X95" s="16">
        <f t="shared" si="2"/>
        <v>2</v>
      </c>
      <c r="Y95" s="16">
        <f t="shared" si="2"/>
        <v>0</v>
      </c>
      <c r="Z95" s="20"/>
      <c r="AA95" s="20"/>
    </row>
    <row r="96">
      <c r="A96" s="95"/>
      <c r="B96" s="150" t="s">
        <v>30</v>
      </c>
      <c r="C96" s="20"/>
      <c r="D96" s="16">
        <f t="shared" ref="D96:Y96" si="3">countifs($C$2:$C$89,"XT",D$2:D$89,"x")</f>
        <v>0</v>
      </c>
      <c r="E96" s="16">
        <f t="shared" si="3"/>
        <v>0</v>
      </c>
      <c r="F96" s="16">
        <f t="shared" si="3"/>
        <v>0</v>
      </c>
      <c r="G96" s="16">
        <f t="shared" si="3"/>
        <v>0</v>
      </c>
      <c r="H96" s="16">
        <f t="shared" si="3"/>
        <v>0</v>
      </c>
      <c r="I96" s="16">
        <f t="shared" si="3"/>
        <v>0</v>
      </c>
      <c r="J96" s="16">
        <f t="shared" si="3"/>
        <v>0</v>
      </c>
      <c r="K96" s="16">
        <f t="shared" si="3"/>
        <v>0</v>
      </c>
      <c r="L96" s="16">
        <f t="shared" si="3"/>
        <v>1</v>
      </c>
      <c r="M96" s="16">
        <f t="shared" si="3"/>
        <v>0</v>
      </c>
      <c r="N96" s="16">
        <f t="shared" si="3"/>
        <v>1</v>
      </c>
      <c r="O96" s="16">
        <f t="shared" si="3"/>
        <v>1</v>
      </c>
      <c r="P96" s="16">
        <f t="shared" si="3"/>
        <v>1</v>
      </c>
      <c r="Q96" s="16">
        <f t="shared" si="3"/>
        <v>0</v>
      </c>
      <c r="R96" s="16">
        <f t="shared" si="3"/>
        <v>1</v>
      </c>
      <c r="S96" s="16">
        <f t="shared" si="3"/>
        <v>1</v>
      </c>
      <c r="T96" s="16">
        <f t="shared" si="3"/>
        <v>1</v>
      </c>
      <c r="U96" s="16">
        <f t="shared" si="3"/>
        <v>1</v>
      </c>
      <c r="V96" s="16">
        <f t="shared" si="3"/>
        <v>1</v>
      </c>
      <c r="W96" s="16">
        <f t="shared" si="3"/>
        <v>2</v>
      </c>
      <c r="X96" s="16">
        <f t="shared" si="3"/>
        <v>1</v>
      </c>
      <c r="Y96" s="16">
        <f t="shared" si="3"/>
        <v>0</v>
      </c>
      <c r="Z96" s="20"/>
      <c r="AA96" s="20"/>
    </row>
    <row r="97">
      <c r="A97" s="151"/>
      <c r="B97" s="152" t="s">
        <v>58</v>
      </c>
      <c r="C97" s="20"/>
      <c r="D97" s="16">
        <f t="shared" ref="D97:E97" si="4">countifs($C$2:$C$89,"RN",D$2:D$89,"1")</f>
        <v>0</v>
      </c>
      <c r="E97" s="16">
        <f t="shared" si="4"/>
        <v>0</v>
      </c>
      <c r="F97" s="16">
        <f t="shared" ref="F97:Y97" si="5">countifs($C$2:$C$89,"FT",F$2:F$89,"1")</f>
        <v>1</v>
      </c>
      <c r="G97" s="16">
        <f t="shared" si="5"/>
        <v>1</v>
      </c>
      <c r="H97" s="16">
        <f t="shared" si="5"/>
        <v>0</v>
      </c>
      <c r="I97" s="16">
        <f t="shared" si="5"/>
        <v>0</v>
      </c>
      <c r="J97" s="16">
        <f t="shared" si="5"/>
        <v>0</v>
      </c>
      <c r="K97" s="16">
        <f t="shared" si="5"/>
        <v>0</v>
      </c>
      <c r="L97" s="16">
        <f t="shared" si="5"/>
        <v>0</v>
      </c>
      <c r="M97" s="16">
        <f t="shared" si="5"/>
        <v>0</v>
      </c>
      <c r="N97" s="16">
        <f t="shared" si="5"/>
        <v>0</v>
      </c>
      <c r="O97" s="16">
        <f t="shared" si="5"/>
        <v>0</v>
      </c>
      <c r="P97" s="16">
        <f t="shared" si="5"/>
        <v>0</v>
      </c>
      <c r="Q97" s="16">
        <f t="shared" si="5"/>
        <v>1</v>
      </c>
      <c r="R97" s="16">
        <f t="shared" si="5"/>
        <v>0</v>
      </c>
      <c r="S97" s="16">
        <f t="shared" si="5"/>
        <v>3</v>
      </c>
      <c r="T97" s="16">
        <f t="shared" si="5"/>
        <v>0</v>
      </c>
      <c r="U97" s="16">
        <f t="shared" si="5"/>
        <v>0</v>
      </c>
      <c r="V97" s="16">
        <f t="shared" si="5"/>
        <v>0</v>
      </c>
      <c r="W97" s="16">
        <f t="shared" si="5"/>
        <v>1</v>
      </c>
      <c r="X97" s="16">
        <f t="shared" si="5"/>
        <v>0</v>
      </c>
      <c r="Y97" s="16">
        <f t="shared" si="5"/>
        <v>0</v>
      </c>
      <c r="Z97" s="20"/>
      <c r="AA97" s="20"/>
    </row>
    <row r="98">
      <c r="A98" s="50"/>
      <c r="B98" s="153" t="s">
        <v>98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>
      <c r="A99" s="46"/>
      <c r="B99" s="154" t="s">
        <v>89</v>
      </c>
      <c r="C99" s="20"/>
      <c r="D99" s="16">
        <f t="shared" ref="D99:Y99" si="6">countifs($C$2:$C$89,"V",D$2:D$89,"x")</f>
        <v>0</v>
      </c>
      <c r="E99" s="16">
        <f t="shared" si="6"/>
        <v>0</v>
      </c>
      <c r="F99" s="16">
        <f t="shared" si="6"/>
        <v>2</v>
      </c>
      <c r="G99" s="16">
        <f t="shared" si="6"/>
        <v>0</v>
      </c>
      <c r="H99" s="16">
        <f t="shared" si="6"/>
        <v>2</v>
      </c>
      <c r="I99" s="16">
        <f t="shared" si="6"/>
        <v>2</v>
      </c>
      <c r="J99" s="16">
        <f t="shared" si="6"/>
        <v>2</v>
      </c>
      <c r="K99" s="16">
        <f t="shared" si="6"/>
        <v>2</v>
      </c>
      <c r="L99" s="16">
        <f t="shared" si="6"/>
        <v>1</v>
      </c>
      <c r="M99" s="16">
        <f t="shared" si="6"/>
        <v>0</v>
      </c>
      <c r="N99" s="16">
        <f t="shared" si="6"/>
        <v>0</v>
      </c>
      <c r="O99" s="16">
        <f t="shared" si="6"/>
        <v>0</v>
      </c>
      <c r="P99" s="16">
        <f t="shared" si="6"/>
        <v>2</v>
      </c>
      <c r="Q99" s="16">
        <f t="shared" si="6"/>
        <v>0</v>
      </c>
      <c r="R99" s="16">
        <f t="shared" si="6"/>
        <v>0</v>
      </c>
      <c r="S99" s="16">
        <f t="shared" si="6"/>
        <v>3</v>
      </c>
      <c r="T99" s="16">
        <f t="shared" si="6"/>
        <v>0</v>
      </c>
      <c r="U99" s="16">
        <f t="shared" si="6"/>
        <v>9</v>
      </c>
      <c r="V99" s="16">
        <f t="shared" si="6"/>
        <v>0</v>
      </c>
      <c r="W99" s="16">
        <f t="shared" si="6"/>
        <v>0</v>
      </c>
      <c r="X99" s="16">
        <f t="shared" si="6"/>
        <v>1</v>
      </c>
      <c r="Y99" s="16">
        <f t="shared" si="6"/>
        <v>0</v>
      </c>
      <c r="Z99" s="20"/>
      <c r="AA99" s="20"/>
    </row>
    <row r="100">
      <c r="A100" s="155"/>
      <c r="B100" s="156" t="s">
        <v>99</v>
      </c>
      <c r="C100" s="16"/>
      <c r="D100" s="16">
        <f t="shared" ref="D100:Y100" si="7">D94+D95+D96+D97+D99</f>
        <v>28</v>
      </c>
      <c r="E100" s="16">
        <f t="shared" si="7"/>
        <v>27</v>
      </c>
      <c r="F100" s="16">
        <f t="shared" si="7"/>
        <v>31</v>
      </c>
      <c r="G100" s="16">
        <f t="shared" si="7"/>
        <v>20</v>
      </c>
      <c r="H100" s="16">
        <f t="shared" si="7"/>
        <v>32</v>
      </c>
      <c r="I100" s="16">
        <f t="shared" si="7"/>
        <v>23</v>
      </c>
      <c r="J100" s="16">
        <f t="shared" si="7"/>
        <v>31</v>
      </c>
      <c r="K100" s="16">
        <f t="shared" si="7"/>
        <v>29</v>
      </c>
      <c r="L100" s="16">
        <f t="shared" si="7"/>
        <v>25</v>
      </c>
      <c r="M100" s="16">
        <f t="shared" si="7"/>
        <v>22</v>
      </c>
      <c r="N100" s="16">
        <f t="shared" si="7"/>
        <v>19</v>
      </c>
      <c r="O100" s="16">
        <f t="shared" si="7"/>
        <v>17</v>
      </c>
      <c r="P100" s="16">
        <f t="shared" si="7"/>
        <v>26</v>
      </c>
      <c r="Q100" s="16">
        <f t="shared" si="7"/>
        <v>21</v>
      </c>
      <c r="R100" s="16">
        <f t="shared" si="7"/>
        <v>30</v>
      </c>
      <c r="S100" s="16">
        <f t="shared" si="7"/>
        <v>35</v>
      </c>
      <c r="T100" s="16">
        <f t="shared" si="7"/>
        <v>25</v>
      </c>
      <c r="U100" s="16">
        <f t="shared" si="7"/>
        <v>39</v>
      </c>
      <c r="V100" s="16">
        <f t="shared" si="7"/>
        <v>26</v>
      </c>
      <c r="W100" s="16">
        <f t="shared" si="7"/>
        <v>28</v>
      </c>
      <c r="X100" s="16">
        <f t="shared" si="7"/>
        <v>30</v>
      </c>
      <c r="Y100" s="16">
        <f t="shared" si="7"/>
        <v>0</v>
      </c>
      <c r="Z100" s="20"/>
      <c r="AA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</row>
  </sheetData>
  <mergeCells count="3">
    <mergeCell ref="A2:A12"/>
    <mergeCell ref="A52:A54"/>
    <mergeCell ref="A84:A93"/>
  </mergeCells>
  <drawing r:id="rId1"/>
</worksheet>
</file>